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60" windowHeight="11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<sst xmlns="http://schemas.openxmlformats.org/spreadsheetml/2006/main" count="173" uniqueCount="173">
  <si>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武器名字</t>
  </si>
  <si>
    <t>武器单发甲伤</t>
  </si>
  <si>
    <t>武器单发肉伤</t>
  </si>
  <si>
    <t>射速（RPM）</t>
  </si>
  <si>
    <t>秒甲伤</t>
  </si>
  <si>
    <t>秒肉伤</t>
  </si>
  <si>
    <t>甲伤TTK（秒）</t>
  </si>
  <si>
    <t>肉伤TTK（秒）</t>
  </si>
  <si>
    <t>综合DPS</t>
  </si>
  <si>
    <t>复合弓</t>
  </si>
  <si>
    <t>M1911</t>
  </si>
  <si>
    <t>G17</t>
  </si>
  <si>
    <t>93R</t>
  </si>
  <si>
    <t>G18</t>
  </si>
  <si>
    <t>沙漠之鹰</t>
  </si>
  <si>
    <t>点357</t>
  </si>
  <si>
    <t>QSZ92G</t>
  </si>
  <si>
    <t>AWM</t>
  </si>
  <si>
    <t>M700</t>
  </si>
  <si>
    <t>R93</t>
  </si>
  <si>
    <t>SV-98</t>
  </si>
  <si>
    <t>杠杆式步枪</t>
  </si>
  <si>
    <t>杠杆式步枪(犀牛)</t>
  </si>
  <si>
    <t>杠杆式步枪(蜂鸟)</t>
  </si>
  <si>
    <t>PSG-1</t>
  </si>
  <si>
    <t>PSG-1(扳机)</t>
  </si>
  <si>
    <t>SR9</t>
  </si>
  <si>
    <t>SR9(扳机)</t>
  </si>
  <si>
    <t>SR-25</t>
  </si>
  <si>
    <t>M1911(击锤/扳机)</t>
  </si>
  <si>
    <t>M1911(击锤+扳机)</t>
  </si>
  <si>
    <t>R93(短枪管)</t>
  </si>
  <si>
    <t>R93(长枪管/死寂消音)</t>
  </si>
  <si>
    <t>SV-98(短枪管)</t>
  </si>
  <si>
    <t>SV-98(超长枪管/死寂消音)</t>
  </si>
  <si>
    <t>PSG-1(神射枪管/死寂消音)</t>
  </si>
  <si>
    <t>PSG-1(神射枪管+扳机)</t>
  </si>
  <si>
    <t>SR9(神射枪管/死寂消音)</t>
  </si>
  <si>
    <t>SR9(神射枪管+扳机)</t>
  </si>
  <si>
    <t>SR-25(短枪管)</t>
  </si>
  <si>
    <t>SKS</t>
  </si>
  <si>
    <t>M14</t>
  </si>
  <si>
    <t>SVD</t>
  </si>
  <si>
    <t>VSS</t>
  </si>
  <si>
    <t>Mini-14</t>
  </si>
  <si>
    <t>QJB201</t>
  </si>
  <si>
    <t>QJB201(稳固导气)</t>
  </si>
  <si>
    <t>QJB201(高速导气)</t>
  </si>
  <si>
    <t>M250</t>
  </si>
  <si>
    <t>M249</t>
  </si>
  <si>
    <t>PKM</t>
  </si>
  <si>
    <t>FS-12(半自动)-(有8颗弹丸)</t>
  </si>
  <si>
    <t>FS-12(泵动)-(有8颗弹丸)</t>
  </si>
  <si>
    <t>725双管(有8颗弹丸)</t>
  </si>
  <si>
    <t>M870(有8颗弹丸)</t>
  </si>
  <si>
    <t>S12K(有8颗弹丸)</t>
  </si>
  <si>
    <t>S12K(破阵长枪管)-(有8颗弹丸)</t>
  </si>
  <si>
    <t>AWM(长枪管)</t>
  </si>
  <si>
    <t>M700(死寂消音/平层长枪管)</t>
  </si>
  <si>
    <t>M700(一体消音枪管)</t>
  </si>
  <si>
    <t>R93(长枪管+死寂消音)</t>
  </si>
  <si>
    <t>R93(短枪管+死寂消音)</t>
  </si>
  <si>
    <t>SV-98(超长枪管+死寂消音)</t>
  </si>
  <si>
    <t>SV-98(短枪管+死寂消音)</t>
  </si>
  <si>
    <t>PSG-1(神射枪管+扳机+死寂消音)</t>
  </si>
  <si>
    <t>PSG-1(神射枪管+死寂消音)</t>
  </si>
  <si>
    <t>SR9(神射枪管+扳机+死寂消音)</t>
  </si>
  <si>
    <t>SR9(神射枪管+死寂消音)</t>
  </si>
  <si>
    <t>SR-25(短枪管+死寂消音)</t>
  </si>
  <si>
    <t>SKS(死寂消音)</t>
  </si>
  <si>
    <t>M14(死寂消音)</t>
  </si>
  <si>
    <t>SVD(死寂消音)</t>
  </si>
  <si>
    <t>Mini-14(死寂消音)</t>
  </si>
  <si>
    <t>QJB201(死寂消音)</t>
  </si>
  <si>
    <t>QJB201(稳固导气+死寂消音)</t>
  </si>
  <si>
    <t>QJB201(高速导气+死寂消音)</t>
  </si>
  <si>
    <t>M250(死寂消音)</t>
  </si>
  <si>
    <t>M249(死寂消音)</t>
  </si>
  <si>
    <t>PKM(死寂消音)</t>
  </si>
  <si>
    <t>M1014(有8颗弹丸)</t>
  </si>
  <si>
    <t>MK4</t>
  </si>
  <si>
    <t>MK4(深空枪管)</t>
  </si>
  <si>
    <t>MK4(深空枪管+死寂消音)</t>
  </si>
  <si>
    <t>MK4(死寂消音)</t>
  </si>
  <si>
    <t>QCQ171</t>
  </si>
  <si>
    <t>QCQ171(死寂消音)</t>
  </si>
  <si>
    <t>QCQ171(稳固枪机)</t>
  </si>
  <si>
    <t>QCQ171(高速枪机)</t>
  </si>
  <si>
    <t>QCQ171(高速枪机+死寂消音)</t>
  </si>
  <si>
    <t>QCQ171(稳固枪机+死寂消音)</t>
  </si>
  <si>
    <t>MP7</t>
  </si>
  <si>
    <t>MP7(死寂消音)</t>
  </si>
  <si>
    <t>勇士冲锋枪</t>
  </si>
  <si>
    <t>勇士冲锋枪(死寂消音)</t>
  </si>
  <si>
    <t>SR-3M</t>
  </si>
  <si>
    <t>SR-3M(死寂消音)</t>
  </si>
  <si>
    <t>SMG-45</t>
  </si>
  <si>
    <t>SMG-45(死寂消音)</t>
  </si>
  <si>
    <t>野牛冲锋枪</t>
  </si>
  <si>
    <t>野牛冲锋枪(死寂消音)</t>
  </si>
  <si>
    <t>UZI冲锋枪</t>
  </si>
  <si>
    <t>UZI冲锋枪(死寂消音)</t>
  </si>
  <si>
    <t>Vector冲锋枪</t>
  </si>
  <si>
    <t>Vector冲锋枪(死寂消音)</t>
  </si>
  <si>
    <t>P90冲锋枪</t>
  </si>
  <si>
    <t>P90冲锋枪(死寂消音)</t>
  </si>
  <si>
    <t>P90冲锋枪(长弓枪管)</t>
  </si>
  <si>
    <t>P90冲锋枪(长弓枪管+死寂消音)</t>
  </si>
  <si>
    <t>MP5冲锋枪</t>
  </si>
  <si>
    <t>MP5冲锋枪(死寂消音)</t>
  </si>
  <si>
    <t>MCX LT</t>
  </si>
  <si>
    <t>MCX LT(焰魂枪管)</t>
  </si>
  <si>
    <t>MCX LT(焰魂枪管+隔热网)</t>
  </si>
  <si>
    <t>MCX LT(死寂消音)</t>
  </si>
  <si>
    <t>MK47</t>
  </si>
  <si>
    <t>MK47(鏖战枪管)</t>
  </si>
  <si>
    <t>MK47(余烬枪管)</t>
  </si>
  <si>
    <t>MK47(死寂消音)</t>
  </si>
  <si>
    <t>MK47(死寂消音+鏖战枪管)</t>
  </si>
  <si>
    <t>MK47(死寂消音+余烬枪管)</t>
  </si>
  <si>
    <t>KC17</t>
  </si>
  <si>
    <t>KC17(死寂消音)</t>
  </si>
  <si>
    <t>K437</t>
  </si>
  <si>
    <t>K437(死寂消音)</t>
  </si>
  <si>
    <t>腾龙</t>
  </si>
  <si>
    <t>腾龙(稳固导气)</t>
  </si>
  <si>
    <t>腾龙(高速导气)</t>
  </si>
  <si>
    <t>腾龙(死寂消音)</t>
  </si>
  <si>
    <t>腾龙(高速导气+死寂消音)</t>
  </si>
  <si>
    <t>腾龙(稳固导气+死寂消音)</t>
  </si>
  <si>
    <t>AS Val</t>
  </si>
  <si>
    <t>AS Val(刺客枪管)</t>
  </si>
  <si>
    <t>CAR-15</t>
  </si>
  <si>
    <t>CAR-15(死寂消音)</t>
  </si>
  <si>
    <t>PTR-32</t>
  </si>
  <si>
    <t>PTR-32(神射枪管/死寂消音)</t>
  </si>
  <si>
    <t>PTR-32(神射枪管+死寂消音)</t>
  </si>
  <si>
    <t>G3</t>
  </si>
  <si>
    <t>G3(神射枪管/死寂消音)</t>
  </si>
  <si>
    <t>G3(神射枪管+死寂消音)</t>
  </si>
  <si>
    <t>SCAR-H</t>
  </si>
  <si>
    <t>SCAR-H(死寂消音)</t>
  </si>
  <si>
    <t>AK-12</t>
  </si>
  <si>
    <t>AK-12(死寂消音)</t>
  </si>
  <si>
    <t>SG552</t>
  </si>
  <si>
    <t>SG552(死寂消音)</t>
  </si>
  <si>
    <t>M7</t>
  </si>
  <si>
    <t>M7(堤风长枪管)</t>
  </si>
  <si>
    <t>M7(堤风长枪管+死寂消音)</t>
  </si>
  <si>
    <t>M7(死寂消音)</t>
  </si>
  <si>
    <t>AUG</t>
  </si>
  <si>
    <t>AUG(死寂消音)</t>
  </si>
  <si>
    <t>M16A4</t>
  </si>
  <si>
    <t>M16A4(死寂消音)</t>
  </si>
  <si>
    <t>K416</t>
  </si>
  <si>
    <t>K416(死寂消音)</t>
  </si>
  <si>
    <t>ASh-12</t>
  </si>
  <si>
    <t>ASh-12(战斧枪管)</t>
  </si>
  <si>
    <t>AKS-74U</t>
  </si>
  <si>
    <t>AKS-74U(死寂消音)</t>
  </si>
  <si>
    <t>QBZ95-1</t>
  </si>
  <si>
    <t>QBZ95-1(死寂消音)</t>
  </si>
  <si>
    <t>AKM</t>
  </si>
  <si>
    <t>AKM(死寂消音)</t>
  </si>
  <si>
    <t>M4A1</t>
  </si>
  <si>
    <t>M4A1(死寂消音)</t>
  </si>
  <si>
    <t>M249(HVK新枪管)</t>
  </si>
  <si>
    <t>M249(HVK枪管+死寂)</t>
  </si>
  <si>
    <t>M82</t>
  </si>
  <si>
    <t>AR57</t>
  </si>
  <si>
    <t>AR57(死寂)</t>
  </si>
  <si>
    <t>MP7(HVK枪管)</t>
  </si>
  <si>
    <t>MP7(HVK枪管+死寂)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</si>
</sst>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tabSelected="1" topLeftCell="A137" workbookViewId="0">
      <selection activeCell="F159" sqref="F159"/>
    </sheetView>
  </sheetViews>
  <sheetFormatPr defaultColWidth="8.72727272727273" defaultRowHeight="14"/>
  <cols>
    <col min="1" max="1" width="30.4545454545455" style="1" customWidth="1"/>
    <col min="2" max="2" width="18.1818181818182" style="1" customWidth="1"/>
    <col min="3" max="3" width="13.3636363636364" style="1" customWidth="1"/>
    <col min="4" max="4" width="14.9090909090909" style="1" customWidth="1"/>
    <col min="5" max="5" width="11.9090909090909" style="1" customWidth="1"/>
    <col min="6" max="7" width="15.5454545454545" style="1" customWidth="1"/>
    <col min="8" max="8" width="12.5454545454545" style="1" customWidth="1"/>
    <col min="9" max="10" width="16.727272727272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 t="s">
        <v>9</v>
      </c>
      <c r="B2" s="1">
        <v>65</v>
      </c>
      <c r="C2" s="1">
        <v>90</v>
      </c>
      <c r="D2" s="1">
        <v>182</v>
      </c>
      <c r="E2" s="1">
        <f>PRODUCT(B2,D2,1/60)</f>
        <v>197.166666666667</v>
      </c>
      <c r="F2" s="1">
        <f>PRODUCT(C2,D2,1/60)</f>
        <v>273</v>
      </c>
      <c r="G2" s="1">
        <f>ROUND(100/E2,2)</f>
        <v>0.51</v>
      </c>
      <c r="H2" s="1">
        <f>ROUND(100/F2,2)</f>
        <v>0.37</v>
      </c>
      <c r="I2" s="1">
        <f t="shared" ref="I2:I65" si="0">AVERAGE(E2,F2)</f>
        <v>235.083333333333</v>
      </c>
      <c r="J2" s="1"/>
    </row>
    <row r="3" spans="1:10">
      <c r="A3" s="1" t="s">
        <v>10</v>
      </c>
      <c r="B3" s="1">
        <v>30</v>
      </c>
      <c r="C3" s="1">
        <v>40</v>
      </c>
      <c r="D3" s="1">
        <v>373</v>
      </c>
      <c r="E3" s="1">
        <f t="shared" ref="E3:E34" si="1">PRODUCT(B3,D3,1/60)</f>
        <v>186.5</v>
      </c>
      <c r="F3" s="1">
        <f t="shared" ref="F3:F34" si="2">PRODUCT(C3,D3,1/60)</f>
        <v>248.666666666667</v>
      </c>
      <c r="G3" s="1">
        <f>ROUND(100/E3,2)</f>
        <v>0.54</v>
      </c>
      <c r="H3" s="1">
        <f t="shared" ref="H3:H34" si="3">ROUND(100/F3,2)</f>
        <v>0.4</v>
      </c>
      <c r="I3" s="1">
        <f t="shared" si="0"/>
        <v>217.583333333333</v>
      </c>
    </row>
    <row r="4" spans="1:10">
      <c r="A4" s="1" t="s">
        <v>11</v>
      </c>
      <c r="B4" s="1">
        <v>25</v>
      </c>
      <c r="C4" s="1">
        <v>27</v>
      </c>
      <c r="D4" s="1">
        <v>462</v>
      </c>
      <c r="E4" s="1">
        <f t="shared" si="1"/>
        <v>192.5</v>
      </c>
      <c r="F4" s="1">
        <f t="shared" si="2"/>
        <v>207.9</v>
      </c>
      <c r="G4" s="1">
        <f t="shared" ref="G3:G34" si="4">ROUND(100/E4,2)</f>
        <v>0.52</v>
      </c>
      <c r="H4" s="1">
        <f t="shared" si="3"/>
        <v>0.48</v>
      </c>
      <c r="I4" s="1">
        <f t="shared" si="0"/>
        <v>200.2</v>
      </c>
    </row>
    <row r="5" spans="1:10">
      <c r="A5" s="1" t="s">
        <v>12</v>
      </c>
      <c r="B5" s="1">
        <v>32</v>
      </c>
      <c r="C5" s="1">
        <v>34</v>
      </c>
      <c r="D5" s="1">
        <v>508</v>
      </c>
      <c r="E5" s="1">
        <f t="shared" si="1"/>
        <v>270.933333333333</v>
      </c>
      <c r="F5" s="1">
        <f t="shared" si="2"/>
        <v>287.866666666667</v>
      </c>
      <c r="G5" s="1">
        <f t="shared" si="4"/>
        <v>0.37</v>
      </c>
      <c r="H5" s="1">
        <f t="shared" si="3"/>
        <v>0.35</v>
      </c>
      <c r="I5" s="1">
        <f t="shared" si="0"/>
        <v>279.4</v>
      </c>
    </row>
    <row r="6" spans="1:10">
      <c r="A6" s="1" t="s">
        <v>13</v>
      </c>
      <c r="B6" s="1">
        <v>16</v>
      </c>
      <c r="C6" s="1">
        <v>23</v>
      </c>
      <c r="D6" s="1">
        <v>1172</v>
      </c>
      <c r="E6" s="1">
        <f t="shared" si="1"/>
        <v>312.533333333333</v>
      </c>
      <c r="F6" s="1">
        <f t="shared" si="2"/>
        <v>449.266666666667</v>
      </c>
      <c r="G6" s="1">
        <f t="shared" si="4"/>
        <v>0.32</v>
      </c>
      <c r="H6" s="1">
        <f t="shared" si="3"/>
        <v>0.22</v>
      </c>
      <c r="I6" s="1">
        <f t="shared" si="0"/>
        <v>380.9</v>
      </c>
    </row>
    <row r="7" spans="1:10">
      <c r="A7" s="1" t="s">
        <v>14</v>
      </c>
      <c r="B7" s="1">
        <v>53</v>
      </c>
      <c r="C7" s="1">
        <v>56</v>
      </c>
      <c r="D7" s="1">
        <v>207</v>
      </c>
      <c r="E7" s="1">
        <f t="shared" si="1"/>
        <v>182.85</v>
      </c>
      <c r="F7" s="1">
        <f t="shared" si="2"/>
        <v>193.2</v>
      </c>
      <c r="G7" s="1">
        <f t="shared" si="4"/>
        <v>0.55</v>
      </c>
      <c r="H7" s="1">
        <f t="shared" si="3"/>
        <v>0.52</v>
      </c>
      <c r="I7" s="1">
        <f t="shared" si="0"/>
        <v>188.025</v>
      </c>
    </row>
    <row r="8" spans="1:10">
      <c r="A8" s="1" t="s">
        <v>15</v>
      </c>
      <c r="B8" s="1">
        <v>39</v>
      </c>
      <c r="C8" s="1">
        <v>56</v>
      </c>
      <c r="D8" s="1">
        <v>182</v>
      </c>
      <c r="E8" s="1">
        <f t="shared" si="1"/>
        <v>118.3</v>
      </c>
      <c r="F8" s="1">
        <f t="shared" si="2"/>
        <v>169.866666666667</v>
      </c>
      <c r="G8" s="1">
        <f t="shared" si="4"/>
        <v>0.85</v>
      </c>
      <c r="H8" s="1">
        <f t="shared" si="3"/>
        <v>0.59</v>
      </c>
      <c r="I8" s="1">
        <f t="shared" si="0"/>
        <v>144.083333333333</v>
      </c>
    </row>
    <row r="9" spans="1:10">
      <c r="A9" s="1" t="s">
        <v>16</v>
      </c>
      <c r="B9" s="1">
        <v>32</v>
      </c>
      <c r="C9" s="1">
        <v>34</v>
      </c>
      <c r="D9" s="1">
        <v>375</v>
      </c>
      <c r="E9" s="1">
        <f t="shared" si="1"/>
        <v>200</v>
      </c>
      <c r="F9" s="1">
        <f t="shared" si="2"/>
        <v>212.5</v>
      </c>
      <c r="G9" s="1">
        <f t="shared" si="4"/>
        <v>0.5</v>
      </c>
      <c r="H9" s="1">
        <f t="shared" si="3"/>
        <v>0.47</v>
      </c>
      <c r="I9" s="1">
        <f t="shared" si="0"/>
        <v>206.25</v>
      </c>
    </row>
    <row r="10" spans="1:10">
      <c r="A10" s="1" t="s">
        <v>17</v>
      </c>
      <c r="B10" s="1">
        <v>10</v>
      </c>
      <c r="C10" s="1">
        <v>100</v>
      </c>
      <c r="D10" s="1">
        <v>31</v>
      </c>
      <c r="E10" s="1">
        <f t="shared" si="1"/>
        <v>5.16666666666667</v>
      </c>
      <c r="F10" s="1">
        <f t="shared" si="2"/>
        <v>51.6666666666667</v>
      </c>
      <c r="G10" s="1">
        <f t="shared" si="4"/>
        <v>19.35</v>
      </c>
      <c r="H10" s="1">
        <f t="shared" si="3"/>
        <v>1.94</v>
      </c>
      <c r="I10" s="1">
        <f t="shared" si="0"/>
        <v>28.4166666666667</v>
      </c>
    </row>
    <row r="11" spans="1:10">
      <c r="A11" s="1" t="s">
        <v>18</v>
      </c>
      <c r="B11" s="1">
        <v>58</v>
      </c>
      <c r="C11" s="1">
        <v>61</v>
      </c>
      <c r="D11" s="1">
        <v>48</v>
      </c>
      <c r="E11" s="1">
        <f t="shared" si="1"/>
        <v>46.4</v>
      </c>
      <c r="F11" s="1">
        <f t="shared" si="2"/>
        <v>48.8</v>
      </c>
      <c r="G11" s="1">
        <f t="shared" si="4"/>
        <v>2.16</v>
      </c>
      <c r="H11" s="1">
        <f t="shared" si="3"/>
        <v>2.05</v>
      </c>
      <c r="I11" s="1">
        <f t="shared" si="0"/>
        <v>47.6</v>
      </c>
    </row>
    <row r="12" spans="1:10">
      <c r="A12" s="1" t="s">
        <v>19</v>
      </c>
      <c r="B12" s="1">
        <v>58</v>
      </c>
      <c r="C12" s="1">
        <v>61</v>
      </c>
      <c r="D12" s="1">
        <v>56</v>
      </c>
      <c r="E12" s="1">
        <f t="shared" si="1"/>
        <v>54.1333333333333</v>
      </c>
      <c r="F12" s="1">
        <f t="shared" si="2"/>
        <v>56.9333333333333</v>
      </c>
      <c r="G12" s="1">
        <f t="shared" si="4"/>
        <v>1.85</v>
      </c>
      <c r="H12" s="1">
        <f t="shared" si="3"/>
        <v>1.76</v>
      </c>
      <c r="I12" s="1">
        <f t="shared" si="0"/>
        <v>55.5333333333333</v>
      </c>
    </row>
    <row r="13" spans="1:10">
      <c r="A13" s="1" t="s">
        <v>20</v>
      </c>
      <c r="B13" s="1">
        <v>58</v>
      </c>
      <c r="C13" s="1">
        <v>60</v>
      </c>
      <c r="D13" s="1">
        <v>44</v>
      </c>
      <c r="E13" s="1">
        <f t="shared" si="1"/>
        <v>42.5333333333333</v>
      </c>
      <c r="F13" s="1">
        <f t="shared" si="2"/>
        <v>44</v>
      </c>
      <c r="G13" s="1">
        <f t="shared" si="4"/>
        <v>2.35</v>
      </c>
      <c r="H13" s="1">
        <f t="shared" si="3"/>
        <v>2.27</v>
      </c>
      <c r="I13" s="1">
        <f t="shared" si="0"/>
        <v>43.2666666666667</v>
      </c>
    </row>
    <row r="14" spans="1:10">
      <c r="A14" s="1" t="s">
        <v>21</v>
      </c>
      <c r="B14" s="1">
        <v>25</v>
      </c>
      <c r="C14" s="1">
        <v>70</v>
      </c>
      <c r="D14" s="1">
        <v>100</v>
      </c>
      <c r="E14" s="1">
        <f t="shared" si="1"/>
        <v>41.6666666666667</v>
      </c>
      <c r="F14" s="1">
        <f t="shared" si="2"/>
        <v>116.666666666667</v>
      </c>
      <c r="G14" s="1">
        <f t="shared" si="4"/>
        <v>2.4</v>
      </c>
      <c r="H14" s="1">
        <f t="shared" si="3"/>
        <v>0.86</v>
      </c>
      <c r="I14" s="1">
        <f t="shared" si="0"/>
        <v>79.1666666666667</v>
      </c>
    </row>
    <row r="15" spans="1:10">
      <c r="A15" s="1" t="s">
        <v>22</v>
      </c>
      <c r="B15" s="1">
        <v>25</v>
      </c>
      <c r="C15" s="1">
        <v>100</v>
      </c>
      <c r="D15" s="1">
        <v>75</v>
      </c>
      <c r="E15" s="1">
        <f t="shared" si="1"/>
        <v>31.25</v>
      </c>
      <c r="F15" s="1">
        <f t="shared" si="2"/>
        <v>125</v>
      </c>
      <c r="G15" s="1">
        <f t="shared" si="4"/>
        <v>3.2</v>
      </c>
      <c r="H15" s="1">
        <f t="shared" si="3"/>
        <v>0.8</v>
      </c>
      <c r="I15" s="1">
        <f t="shared" si="0"/>
        <v>78.125</v>
      </c>
    </row>
    <row r="16" spans="1:10">
      <c r="A16" s="1" t="s">
        <v>23</v>
      </c>
      <c r="B16" s="1">
        <v>59</v>
      </c>
      <c r="C16" s="1">
        <v>75</v>
      </c>
      <c r="D16" s="1">
        <v>200</v>
      </c>
      <c r="E16" s="1">
        <f t="shared" si="1"/>
        <v>196.666666666667</v>
      </c>
      <c r="F16" s="1">
        <f t="shared" si="2"/>
        <v>250</v>
      </c>
      <c r="G16" s="1">
        <f t="shared" si="4"/>
        <v>0.51</v>
      </c>
      <c r="H16" s="1">
        <f t="shared" si="3"/>
        <v>0.4</v>
      </c>
      <c r="I16" s="1">
        <f t="shared" si="0"/>
        <v>223.333333333333</v>
      </c>
    </row>
    <row r="17" spans="1:9">
      <c r="A17" s="1" t="s">
        <v>24</v>
      </c>
      <c r="B17" s="1">
        <v>55</v>
      </c>
      <c r="C17" s="1">
        <v>50</v>
      </c>
      <c r="D17" s="1">
        <v>300</v>
      </c>
      <c r="E17" s="1">
        <f t="shared" si="1"/>
        <v>275</v>
      </c>
      <c r="F17" s="1">
        <f t="shared" si="2"/>
        <v>250</v>
      </c>
      <c r="G17" s="1">
        <f t="shared" si="4"/>
        <v>0.36</v>
      </c>
      <c r="H17" s="1">
        <f t="shared" si="3"/>
        <v>0.4</v>
      </c>
      <c r="I17" s="1">
        <f t="shared" si="0"/>
        <v>262.5</v>
      </c>
    </row>
    <row r="18" spans="1:9">
      <c r="A18" s="1" t="s">
        <v>25</v>
      </c>
      <c r="B18" s="1">
        <v>55</v>
      </c>
      <c r="C18" s="1">
        <v>50</v>
      </c>
      <c r="D18" s="1">
        <v>353</v>
      </c>
      <c r="E18" s="1">
        <f t="shared" si="1"/>
        <v>323.583333333333</v>
      </c>
      <c r="F18" s="1">
        <f t="shared" si="2"/>
        <v>294.166666666667</v>
      </c>
      <c r="G18" s="1">
        <f t="shared" si="4"/>
        <v>0.31</v>
      </c>
      <c r="H18" s="1">
        <f t="shared" si="3"/>
        <v>0.34</v>
      </c>
      <c r="I18" s="1">
        <f t="shared" si="0"/>
        <v>308.875</v>
      </c>
    </row>
    <row r="19" spans="1:9">
      <c r="A19" s="1" t="s">
        <v>26</v>
      </c>
      <c r="B19" s="1">
        <v>55</v>
      </c>
      <c r="C19" s="1">
        <v>50</v>
      </c>
      <c r="D19" s="1">
        <v>261</v>
      </c>
      <c r="E19" s="1">
        <f t="shared" si="1"/>
        <v>239.25</v>
      </c>
      <c r="F19" s="1">
        <f t="shared" si="2"/>
        <v>217.5</v>
      </c>
      <c r="G19" s="1">
        <f t="shared" si="4"/>
        <v>0.42</v>
      </c>
      <c r="H19" s="1">
        <f t="shared" si="3"/>
        <v>0.46</v>
      </c>
      <c r="I19" s="1">
        <f t="shared" si="0"/>
        <v>228.375</v>
      </c>
    </row>
    <row r="20" spans="1:9">
      <c r="A20" s="1" t="s">
        <v>27</v>
      </c>
      <c r="B20" s="1">
        <v>55</v>
      </c>
      <c r="C20" s="1">
        <v>50</v>
      </c>
      <c r="D20" s="1">
        <v>307</v>
      </c>
      <c r="E20" s="1">
        <f t="shared" si="1"/>
        <v>281.416666666667</v>
      </c>
      <c r="F20" s="1">
        <f t="shared" si="2"/>
        <v>255.833333333333</v>
      </c>
      <c r="G20" s="1">
        <f t="shared" si="4"/>
        <v>0.36</v>
      </c>
      <c r="H20" s="1">
        <f t="shared" si="3"/>
        <v>0.39</v>
      </c>
      <c r="I20" s="1">
        <f t="shared" si="0"/>
        <v>268.625</v>
      </c>
    </row>
    <row r="21" spans="1:9">
      <c r="A21" s="1" t="s">
        <v>28</v>
      </c>
      <c r="B21" s="1">
        <v>55</v>
      </c>
      <c r="C21" s="1">
        <v>50</v>
      </c>
      <c r="D21" s="1">
        <v>364</v>
      </c>
      <c r="E21" s="1">
        <f t="shared" si="1"/>
        <v>333.666666666667</v>
      </c>
      <c r="F21" s="1">
        <f t="shared" si="2"/>
        <v>303.333333333333</v>
      </c>
      <c r="G21" s="1">
        <f t="shared" si="4"/>
        <v>0.3</v>
      </c>
      <c r="H21" s="1">
        <f t="shared" si="3"/>
        <v>0.33</v>
      </c>
      <c r="I21" s="1">
        <f t="shared" si="0"/>
        <v>318.5</v>
      </c>
    </row>
    <row r="22" spans="1:9">
      <c r="A22" s="1" t="s">
        <v>29</v>
      </c>
      <c r="B22" s="1">
        <v>30</v>
      </c>
      <c r="C22" s="1">
        <v>40</v>
      </c>
      <c r="D22" s="1">
        <v>392</v>
      </c>
      <c r="E22" s="1">
        <f t="shared" si="1"/>
        <v>196</v>
      </c>
      <c r="F22" s="1">
        <f t="shared" si="2"/>
        <v>261.333333333333</v>
      </c>
      <c r="G22" s="1">
        <f t="shared" si="4"/>
        <v>0.51</v>
      </c>
      <c r="H22" s="1">
        <f t="shared" si="3"/>
        <v>0.38</v>
      </c>
      <c r="I22" s="1">
        <f t="shared" si="0"/>
        <v>228.666666666667</v>
      </c>
    </row>
    <row r="23" spans="1:9">
      <c r="A23" s="1" t="s">
        <v>30</v>
      </c>
      <c r="B23" s="1">
        <v>30</v>
      </c>
      <c r="C23" s="1">
        <v>40</v>
      </c>
      <c r="D23" s="1">
        <v>414</v>
      </c>
      <c r="E23" s="1">
        <f t="shared" si="1"/>
        <v>207</v>
      </c>
      <c r="F23" s="1">
        <f t="shared" si="2"/>
        <v>276</v>
      </c>
      <c r="G23" s="1">
        <f t="shared" si="4"/>
        <v>0.48</v>
      </c>
      <c r="H23" s="1">
        <f t="shared" si="3"/>
        <v>0.36</v>
      </c>
      <c r="I23" s="1">
        <f t="shared" si="0"/>
        <v>241.5</v>
      </c>
    </row>
    <row r="24" spans="1:9">
      <c r="A24" s="1" t="s">
        <v>31</v>
      </c>
      <c r="B24" s="1">
        <v>58</v>
      </c>
      <c r="C24" s="1">
        <v>61</v>
      </c>
      <c r="D24" s="1">
        <v>65</v>
      </c>
      <c r="E24" s="1">
        <f t="shared" si="1"/>
        <v>62.8333333333333</v>
      </c>
      <c r="F24" s="1">
        <f t="shared" si="2"/>
        <v>66.0833333333333</v>
      </c>
      <c r="G24" s="1">
        <f t="shared" si="4"/>
        <v>1.59</v>
      </c>
      <c r="H24" s="1">
        <f t="shared" si="3"/>
        <v>1.51</v>
      </c>
      <c r="I24" s="1">
        <f t="shared" si="0"/>
        <v>64.4583333333333</v>
      </c>
    </row>
    <row r="25" spans="1:9">
      <c r="A25" s="1" t="s">
        <v>32</v>
      </c>
      <c r="B25" s="1">
        <v>58</v>
      </c>
      <c r="C25" s="1">
        <v>61</v>
      </c>
      <c r="D25" s="1">
        <v>48</v>
      </c>
      <c r="E25" s="1">
        <f t="shared" si="1"/>
        <v>46.4</v>
      </c>
      <c r="F25" s="1">
        <f t="shared" si="2"/>
        <v>48.8</v>
      </c>
      <c r="G25" s="1">
        <f t="shared" si="4"/>
        <v>2.16</v>
      </c>
      <c r="H25" s="1">
        <f t="shared" si="3"/>
        <v>2.05</v>
      </c>
      <c r="I25" s="1">
        <f t="shared" si="0"/>
        <v>47.6</v>
      </c>
    </row>
    <row r="26" spans="1:9">
      <c r="A26" s="1" t="s">
        <v>33</v>
      </c>
      <c r="B26" s="1">
        <v>58</v>
      </c>
      <c r="C26" s="1">
        <v>60</v>
      </c>
      <c r="D26" s="1">
        <v>52</v>
      </c>
      <c r="E26" s="1">
        <f t="shared" si="1"/>
        <v>50.2666666666667</v>
      </c>
      <c r="F26" s="1">
        <f t="shared" si="2"/>
        <v>52</v>
      </c>
      <c r="G26" s="1">
        <f t="shared" si="4"/>
        <v>1.99</v>
      </c>
      <c r="H26" s="1">
        <f t="shared" si="3"/>
        <v>1.92</v>
      </c>
      <c r="I26" s="1">
        <f t="shared" si="0"/>
        <v>51.1333333333333</v>
      </c>
    </row>
    <row r="27" spans="1:9">
      <c r="A27" s="1" t="s">
        <v>34</v>
      </c>
      <c r="B27" s="1">
        <v>58</v>
      </c>
      <c r="C27" s="1">
        <v>60</v>
      </c>
      <c r="D27" s="1">
        <v>39</v>
      </c>
      <c r="E27" s="1">
        <f t="shared" si="1"/>
        <v>37.7</v>
      </c>
      <c r="F27" s="1">
        <f t="shared" si="2"/>
        <v>39</v>
      </c>
      <c r="G27" s="1">
        <f t="shared" si="4"/>
        <v>2.65</v>
      </c>
      <c r="H27" s="1">
        <f t="shared" si="3"/>
        <v>2.56</v>
      </c>
      <c r="I27" s="1">
        <f t="shared" si="0"/>
        <v>38.35</v>
      </c>
    </row>
    <row r="28" spans="1:9">
      <c r="A28" s="1" t="s">
        <v>35</v>
      </c>
      <c r="B28" s="1">
        <v>55</v>
      </c>
      <c r="C28" s="1">
        <v>50</v>
      </c>
      <c r="D28" s="1">
        <v>261</v>
      </c>
      <c r="E28" s="1">
        <f t="shared" si="1"/>
        <v>239.25</v>
      </c>
      <c r="F28" s="1">
        <f t="shared" si="2"/>
        <v>217.5</v>
      </c>
      <c r="G28" s="1">
        <f t="shared" si="4"/>
        <v>0.42</v>
      </c>
      <c r="H28" s="1">
        <f t="shared" si="3"/>
        <v>0.46</v>
      </c>
      <c r="I28" s="1">
        <f t="shared" si="0"/>
        <v>228.375</v>
      </c>
    </row>
    <row r="29" spans="1:9">
      <c r="A29" s="1" t="s">
        <v>36</v>
      </c>
      <c r="B29" s="1">
        <v>55</v>
      </c>
      <c r="C29" s="1">
        <v>50</v>
      </c>
      <c r="D29" s="1">
        <v>300</v>
      </c>
      <c r="E29" s="1">
        <f t="shared" si="1"/>
        <v>275</v>
      </c>
      <c r="F29" s="1">
        <f t="shared" si="2"/>
        <v>250</v>
      </c>
      <c r="G29" s="1">
        <f t="shared" si="4"/>
        <v>0.36</v>
      </c>
      <c r="H29" s="1">
        <f t="shared" si="3"/>
        <v>0.4</v>
      </c>
      <c r="I29" s="1">
        <f t="shared" si="0"/>
        <v>262.5</v>
      </c>
    </row>
    <row r="30" spans="1:9">
      <c r="A30" s="1" t="s">
        <v>37</v>
      </c>
      <c r="B30" s="1">
        <v>55</v>
      </c>
      <c r="C30" s="1">
        <v>50</v>
      </c>
      <c r="D30" s="1">
        <v>227</v>
      </c>
      <c r="E30" s="1">
        <f t="shared" si="1"/>
        <v>208.083333333333</v>
      </c>
      <c r="F30" s="1">
        <f t="shared" si="2"/>
        <v>189.166666666667</v>
      </c>
      <c r="G30" s="1">
        <f t="shared" si="4"/>
        <v>0.48</v>
      </c>
      <c r="H30" s="1">
        <f t="shared" si="3"/>
        <v>0.53</v>
      </c>
      <c r="I30" s="1">
        <f t="shared" si="0"/>
        <v>198.625</v>
      </c>
    </row>
    <row r="31" spans="1:9">
      <c r="A31" s="1" t="s">
        <v>38</v>
      </c>
      <c r="B31" s="1">
        <v>55</v>
      </c>
      <c r="C31" s="1">
        <v>50</v>
      </c>
      <c r="D31" s="1">
        <v>261</v>
      </c>
      <c r="E31" s="1">
        <f t="shared" si="1"/>
        <v>239.25</v>
      </c>
      <c r="F31" s="1">
        <f t="shared" si="2"/>
        <v>217.5</v>
      </c>
      <c r="G31" s="1">
        <f t="shared" si="4"/>
        <v>0.42</v>
      </c>
      <c r="H31" s="1">
        <f t="shared" si="3"/>
        <v>0.46</v>
      </c>
      <c r="I31" s="1">
        <f t="shared" si="0"/>
        <v>228.375</v>
      </c>
    </row>
    <row r="32" spans="1:9">
      <c r="A32" s="1" t="s">
        <v>39</v>
      </c>
      <c r="B32" s="1">
        <v>55</v>
      </c>
      <c r="C32" s="1">
        <v>55</v>
      </c>
      <c r="D32" s="1">
        <v>448</v>
      </c>
      <c r="E32" s="1">
        <f t="shared" si="1"/>
        <v>410.666666666667</v>
      </c>
      <c r="F32" s="1">
        <f t="shared" si="2"/>
        <v>410.666666666667</v>
      </c>
      <c r="G32" s="1">
        <f t="shared" si="4"/>
        <v>0.24</v>
      </c>
      <c r="H32" s="1">
        <f t="shared" si="3"/>
        <v>0.24</v>
      </c>
      <c r="I32" s="1">
        <f t="shared" si="0"/>
        <v>410.666666666667</v>
      </c>
    </row>
    <row r="33" spans="1:9">
      <c r="A33" s="1" t="s">
        <v>40</v>
      </c>
      <c r="B33" s="1">
        <v>49</v>
      </c>
      <c r="C33" s="1">
        <v>48</v>
      </c>
      <c r="D33" s="1">
        <v>510</v>
      </c>
      <c r="E33" s="1">
        <f t="shared" si="1"/>
        <v>416.5</v>
      </c>
      <c r="F33" s="1">
        <f t="shared" si="2"/>
        <v>408</v>
      </c>
      <c r="G33" s="1">
        <f t="shared" si="4"/>
        <v>0.24</v>
      </c>
      <c r="H33" s="1">
        <f t="shared" si="3"/>
        <v>0.25</v>
      </c>
      <c r="I33" s="1">
        <f t="shared" si="0"/>
        <v>412.25</v>
      </c>
    </row>
    <row r="34" spans="1:9">
      <c r="A34" s="1" t="s">
        <v>41</v>
      </c>
      <c r="B34" s="1">
        <v>41</v>
      </c>
      <c r="C34" s="1">
        <v>39</v>
      </c>
      <c r="D34" s="1">
        <v>727</v>
      </c>
      <c r="E34" s="1">
        <f t="shared" si="1"/>
        <v>496.783333333333</v>
      </c>
      <c r="F34" s="1">
        <f t="shared" si="2"/>
        <v>472.55</v>
      </c>
      <c r="G34" s="1">
        <f t="shared" si="4"/>
        <v>0.2</v>
      </c>
      <c r="H34" s="1">
        <f t="shared" si="3"/>
        <v>0.21</v>
      </c>
      <c r="I34" s="1">
        <f t="shared" si="0"/>
        <v>484.666666666667</v>
      </c>
    </row>
    <row r="35" spans="1:9">
      <c r="A35" s="1" t="s">
        <v>42</v>
      </c>
      <c r="B35" s="1">
        <v>56</v>
      </c>
      <c r="C35" s="1">
        <v>56</v>
      </c>
      <c r="D35" s="1">
        <v>300</v>
      </c>
      <c r="E35" s="1">
        <f t="shared" ref="E35:E66" si="5">PRODUCT(B35,D35,1/60)</f>
        <v>280</v>
      </c>
      <c r="F35" s="1">
        <f t="shared" ref="F35:F66" si="6">PRODUCT(C35,D35,1/60)</f>
        <v>280</v>
      </c>
      <c r="G35" s="1">
        <f t="shared" ref="G35:G66" si="7">ROUND(100/E35,2)</f>
        <v>0.36</v>
      </c>
      <c r="H35" s="1">
        <f t="shared" ref="H35:H66" si="8">ROUND(100/F35,2)</f>
        <v>0.36</v>
      </c>
      <c r="I35" s="1">
        <f t="shared" si="0"/>
        <v>280</v>
      </c>
    </row>
    <row r="36" spans="1:9">
      <c r="A36" s="1" t="s">
        <v>43</v>
      </c>
      <c r="B36" s="1">
        <v>48</v>
      </c>
      <c r="C36" s="1">
        <v>40</v>
      </c>
      <c r="D36" s="1">
        <v>480</v>
      </c>
      <c r="E36" s="1">
        <f t="shared" si="5"/>
        <v>384</v>
      </c>
      <c r="F36" s="1">
        <f t="shared" si="6"/>
        <v>320</v>
      </c>
      <c r="G36" s="1">
        <f t="shared" si="7"/>
        <v>0.26</v>
      </c>
      <c r="H36" s="1">
        <f t="shared" si="8"/>
        <v>0.31</v>
      </c>
      <c r="I36" s="1">
        <f t="shared" si="0"/>
        <v>352</v>
      </c>
    </row>
    <row r="37" spans="1:9">
      <c r="A37" s="1" t="s">
        <v>44</v>
      </c>
      <c r="B37" s="1">
        <v>38</v>
      </c>
      <c r="C37" s="1">
        <v>34</v>
      </c>
      <c r="D37" s="1">
        <v>590</v>
      </c>
      <c r="E37" s="1">
        <f t="shared" si="5"/>
        <v>373.666666666667</v>
      </c>
      <c r="F37" s="1">
        <f t="shared" si="6"/>
        <v>334.333333333333</v>
      </c>
      <c r="G37" s="1">
        <f t="shared" si="7"/>
        <v>0.27</v>
      </c>
      <c r="H37" s="1">
        <f t="shared" si="8"/>
        <v>0.3</v>
      </c>
      <c r="I37" s="1">
        <f t="shared" si="0"/>
        <v>354</v>
      </c>
    </row>
    <row r="38" spans="1:9">
      <c r="A38" s="1" t="s">
        <v>45</v>
      </c>
      <c r="B38" s="1">
        <v>38</v>
      </c>
      <c r="C38" s="1">
        <v>32</v>
      </c>
      <c r="D38" s="1">
        <v>785</v>
      </c>
      <c r="E38" s="1">
        <f t="shared" si="5"/>
        <v>497.166666666667</v>
      </c>
      <c r="F38" s="1">
        <f t="shared" si="6"/>
        <v>418.666666666667</v>
      </c>
      <c r="G38" s="1">
        <f t="shared" si="7"/>
        <v>0.2</v>
      </c>
      <c r="H38" s="1">
        <f t="shared" si="8"/>
        <v>0.24</v>
      </c>
      <c r="I38" s="1">
        <f t="shared" si="0"/>
        <v>457.916666666667</v>
      </c>
    </row>
    <row r="39" spans="1:9">
      <c r="A39" s="1" t="s">
        <v>46</v>
      </c>
      <c r="B39" s="1">
        <v>38</v>
      </c>
      <c r="C39" s="1">
        <v>32</v>
      </c>
      <c r="D39" s="1">
        <v>714</v>
      </c>
      <c r="E39" s="1">
        <f t="shared" si="5"/>
        <v>452.2</v>
      </c>
      <c r="F39" s="1">
        <f t="shared" si="6"/>
        <v>380.8</v>
      </c>
      <c r="G39" s="1">
        <f t="shared" si="7"/>
        <v>0.22</v>
      </c>
      <c r="H39" s="1">
        <f t="shared" si="8"/>
        <v>0.26</v>
      </c>
      <c r="I39" s="1">
        <f t="shared" si="0"/>
        <v>416.5</v>
      </c>
    </row>
    <row r="40" spans="1:9">
      <c r="A40" s="1" t="s">
        <v>47</v>
      </c>
      <c r="B40" s="1">
        <v>38</v>
      </c>
      <c r="C40" s="1">
        <v>32</v>
      </c>
      <c r="D40" s="1">
        <v>873</v>
      </c>
      <c r="E40" s="1">
        <f t="shared" si="5"/>
        <v>552.9</v>
      </c>
      <c r="F40" s="1">
        <f t="shared" si="6"/>
        <v>465.6</v>
      </c>
      <c r="G40" s="1">
        <f t="shared" si="7"/>
        <v>0.18</v>
      </c>
      <c r="H40" s="1">
        <f t="shared" si="8"/>
        <v>0.21</v>
      </c>
      <c r="I40" s="1">
        <f t="shared" si="0"/>
        <v>509.25</v>
      </c>
    </row>
    <row r="41" spans="1:9">
      <c r="A41" s="1" t="s">
        <v>48</v>
      </c>
      <c r="B41" s="1">
        <v>53</v>
      </c>
      <c r="C41" s="1">
        <v>55</v>
      </c>
      <c r="D41" s="1">
        <v>550</v>
      </c>
      <c r="E41" s="1">
        <f t="shared" si="5"/>
        <v>485.833333333333</v>
      </c>
      <c r="F41" s="1">
        <f t="shared" si="6"/>
        <v>504.166666666667</v>
      </c>
      <c r="G41" s="1">
        <f t="shared" si="7"/>
        <v>0.21</v>
      </c>
      <c r="H41" s="1">
        <f t="shared" si="8"/>
        <v>0.2</v>
      </c>
      <c r="I41" s="1">
        <f t="shared" si="0"/>
        <v>495</v>
      </c>
    </row>
    <row r="42" spans="1:9">
      <c r="A42" s="1" t="s">
        <v>49</v>
      </c>
      <c r="B42" s="1">
        <v>38</v>
      </c>
      <c r="C42" s="1">
        <v>30</v>
      </c>
      <c r="D42" s="1">
        <v>858</v>
      </c>
      <c r="E42" s="1">
        <f t="shared" si="5"/>
        <v>543.4</v>
      </c>
      <c r="F42" s="1">
        <f t="shared" si="6"/>
        <v>429</v>
      </c>
      <c r="G42" s="1">
        <f t="shared" si="7"/>
        <v>0.18</v>
      </c>
      <c r="H42" s="1">
        <f t="shared" si="8"/>
        <v>0.23</v>
      </c>
      <c r="I42" s="1">
        <f t="shared" si="0"/>
        <v>486.2</v>
      </c>
    </row>
    <row r="43" spans="1:9">
      <c r="A43" s="1" t="s">
        <v>50</v>
      </c>
      <c r="B43" s="1">
        <v>42</v>
      </c>
      <c r="C43" s="1">
        <v>45</v>
      </c>
      <c r="D43" s="1">
        <v>669</v>
      </c>
      <c r="E43" s="1">
        <f t="shared" si="5"/>
        <v>468.3</v>
      </c>
      <c r="F43" s="1">
        <f t="shared" si="6"/>
        <v>501.75</v>
      </c>
      <c r="G43" s="1">
        <f t="shared" si="7"/>
        <v>0.21</v>
      </c>
      <c r="H43" s="1">
        <f t="shared" si="8"/>
        <v>0.2</v>
      </c>
      <c r="I43" s="1">
        <f t="shared" si="0"/>
        <v>485.025</v>
      </c>
    </row>
    <row r="44" spans="1:9">
      <c r="A44" s="1" t="s">
        <v>51</v>
      </c>
      <c r="B44" s="1">
        <v>16</v>
      </c>
      <c r="C44" s="1">
        <v>14</v>
      </c>
      <c r="D44" s="1">
        <v>300</v>
      </c>
      <c r="E44" s="1">
        <f t="shared" si="5"/>
        <v>80</v>
      </c>
      <c r="F44" s="1">
        <f t="shared" si="6"/>
        <v>70</v>
      </c>
      <c r="G44" s="1">
        <f t="shared" si="7"/>
        <v>1.25</v>
      </c>
      <c r="H44" s="1">
        <f t="shared" si="8"/>
        <v>1.43</v>
      </c>
      <c r="I44" s="1">
        <f t="shared" si="0"/>
        <v>75</v>
      </c>
    </row>
    <row r="45" spans="1:9">
      <c r="A45" s="1" t="s">
        <v>52</v>
      </c>
      <c r="B45" s="1">
        <v>19</v>
      </c>
      <c r="C45" s="1">
        <v>18</v>
      </c>
      <c r="D45" s="1">
        <v>71</v>
      </c>
      <c r="E45" s="1">
        <f t="shared" si="5"/>
        <v>22.4833333333333</v>
      </c>
      <c r="F45" s="1">
        <f t="shared" si="6"/>
        <v>21.3</v>
      </c>
      <c r="G45" s="1">
        <f t="shared" si="7"/>
        <v>4.45</v>
      </c>
      <c r="H45" s="1">
        <f t="shared" si="8"/>
        <v>4.69</v>
      </c>
      <c r="I45" s="1">
        <f t="shared" si="0"/>
        <v>21.8916666666667</v>
      </c>
    </row>
    <row r="46" spans="1:9">
      <c r="A46" s="1" t="s">
        <v>53</v>
      </c>
      <c r="B46" s="1">
        <v>18</v>
      </c>
      <c r="C46" s="1">
        <v>17</v>
      </c>
      <c r="D46" s="1">
        <v>375</v>
      </c>
      <c r="E46" s="1">
        <f t="shared" si="5"/>
        <v>112.5</v>
      </c>
      <c r="F46" s="1">
        <f t="shared" si="6"/>
        <v>106.25</v>
      </c>
      <c r="G46" s="1">
        <f t="shared" si="7"/>
        <v>0.89</v>
      </c>
      <c r="H46" s="1">
        <f t="shared" si="8"/>
        <v>0.94</v>
      </c>
      <c r="I46" s="1">
        <f t="shared" si="0"/>
        <v>109.375</v>
      </c>
    </row>
    <row r="47" spans="1:9">
      <c r="A47" s="1" t="s">
        <v>54</v>
      </c>
      <c r="B47" s="1">
        <v>16</v>
      </c>
      <c r="C47" s="1">
        <v>17</v>
      </c>
      <c r="D47" s="1">
        <v>74</v>
      </c>
      <c r="E47" s="1">
        <f t="shared" si="5"/>
        <v>19.7333333333333</v>
      </c>
      <c r="F47" s="1">
        <f t="shared" si="6"/>
        <v>20.9666666666667</v>
      </c>
      <c r="G47" s="1">
        <f t="shared" si="7"/>
        <v>5.07</v>
      </c>
      <c r="H47" s="1">
        <f t="shared" si="8"/>
        <v>4.77</v>
      </c>
      <c r="I47" s="1">
        <f t="shared" si="0"/>
        <v>20.35</v>
      </c>
    </row>
    <row r="48" spans="1:9">
      <c r="A48" s="1" t="s">
        <v>55</v>
      </c>
      <c r="B48" s="1">
        <v>16</v>
      </c>
      <c r="C48" s="1">
        <v>13</v>
      </c>
      <c r="D48" s="1">
        <v>300</v>
      </c>
      <c r="E48" s="1">
        <f t="shared" si="5"/>
        <v>80</v>
      </c>
      <c r="F48" s="1">
        <f t="shared" si="6"/>
        <v>65</v>
      </c>
      <c r="G48" s="1">
        <f t="shared" si="7"/>
        <v>1.25</v>
      </c>
      <c r="H48" s="1">
        <f t="shared" si="8"/>
        <v>1.54</v>
      </c>
      <c r="I48" s="1">
        <f t="shared" si="0"/>
        <v>72.5</v>
      </c>
    </row>
    <row r="49" spans="1:9">
      <c r="A49" s="1" t="s">
        <v>56</v>
      </c>
      <c r="B49" s="1">
        <v>16</v>
      </c>
      <c r="C49" s="1">
        <v>13</v>
      </c>
      <c r="D49" s="1">
        <v>261</v>
      </c>
      <c r="E49" s="1">
        <f t="shared" si="5"/>
        <v>69.6</v>
      </c>
      <c r="F49" s="1">
        <f t="shared" si="6"/>
        <v>56.55</v>
      </c>
      <c r="G49" s="1">
        <f t="shared" si="7"/>
        <v>1.44</v>
      </c>
      <c r="H49" s="1">
        <f t="shared" si="8"/>
        <v>1.77</v>
      </c>
      <c r="I49" s="1">
        <f t="shared" si="0"/>
        <v>63.075</v>
      </c>
    </row>
    <row r="50" spans="1:9">
      <c r="A50" s="1" t="s">
        <v>57</v>
      </c>
      <c r="B50" s="1">
        <v>10</v>
      </c>
      <c r="C50" s="1">
        <v>100</v>
      </c>
      <c r="D50" s="1">
        <v>31</v>
      </c>
      <c r="E50" s="1">
        <f t="shared" si="5"/>
        <v>5.16666666666667</v>
      </c>
      <c r="F50" s="1">
        <f t="shared" si="6"/>
        <v>51.6666666666667</v>
      </c>
      <c r="G50" s="1">
        <f t="shared" si="7"/>
        <v>19.35</v>
      </c>
      <c r="H50" s="1">
        <f t="shared" si="8"/>
        <v>1.94</v>
      </c>
      <c r="I50" s="1">
        <f t="shared" si="0"/>
        <v>28.4166666666667</v>
      </c>
    </row>
    <row r="51" spans="1:9">
      <c r="A51" s="1" t="s">
        <v>58</v>
      </c>
      <c r="B51" s="1">
        <v>58</v>
      </c>
      <c r="C51" s="1">
        <v>61</v>
      </c>
      <c r="D51" s="1">
        <v>42</v>
      </c>
      <c r="E51" s="1">
        <f t="shared" si="5"/>
        <v>40.6</v>
      </c>
      <c r="F51" s="1">
        <f t="shared" si="6"/>
        <v>42.7</v>
      </c>
      <c r="G51" s="1">
        <f t="shared" si="7"/>
        <v>2.46</v>
      </c>
      <c r="H51" s="1">
        <f t="shared" si="8"/>
        <v>2.34</v>
      </c>
      <c r="I51" s="1">
        <f t="shared" si="0"/>
        <v>41.65</v>
      </c>
    </row>
    <row r="52" spans="1:9">
      <c r="A52" s="1" t="s">
        <v>59</v>
      </c>
      <c r="B52" s="1">
        <v>58</v>
      </c>
      <c r="C52" s="1">
        <v>61</v>
      </c>
      <c r="D52" s="1">
        <v>56</v>
      </c>
      <c r="E52" s="1">
        <f t="shared" si="5"/>
        <v>54.1333333333333</v>
      </c>
      <c r="F52" s="1">
        <f t="shared" si="6"/>
        <v>56.9333333333333</v>
      </c>
      <c r="G52" s="1">
        <f t="shared" si="7"/>
        <v>1.85</v>
      </c>
      <c r="H52" s="1">
        <f t="shared" si="8"/>
        <v>1.76</v>
      </c>
      <c r="I52" s="1">
        <f t="shared" si="0"/>
        <v>55.5333333333333</v>
      </c>
    </row>
    <row r="53" spans="1:9">
      <c r="A53" s="1" t="s">
        <v>60</v>
      </c>
      <c r="B53" s="1">
        <v>58</v>
      </c>
      <c r="C53" s="1">
        <v>61</v>
      </c>
      <c r="D53" s="1">
        <v>43</v>
      </c>
      <c r="E53" s="1">
        <f t="shared" si="5"/>
        <v>41.5666666666667</v>
      </c>
      <c r="F53" s="1">
        <f t="shared" si="6"/>
        <v>43.7166666666667</v>
      </c>
      <c r="G53" s="1">
        <f t="shared" si="7"/>
        <v>2.41</v>
      </c>
      <c r="H53" s="1">
        <f t="shared" si="8"/>
        <v>2.29</v>
      </c>
      <c r="I53" s="1">
        <f t="shared" si="0"/>
        <v>42.6416666666667</v>
      </c>
    </row>
    <row r="54" spans="1:9">
      <c r="A54" s="1" t="s">
        <v>61</v>
      </c>
      <c r="B54" s="1">
        <v>58</v>
      </c>
      <c r="C54" s="1">
        <v>61</v>
      </c>
      <c r="D54" s="1">
        <v>56</v>
      </c>
      <c r="E54" s="1">
        <f t="shared" si="5"/>
        <v>54.1333333333333</v>
      </c>
      <c r="F54" s="1">
        <f t="shared" si="6"/>
        <v>56.9333333333333</v>
      </c>
      <c r="G54" s="1">
        <f t="shared" si="7"/>
        <v>1.85</v>
      </c>
      <c r="H54" s="1">
        <f t="shared" si="8"/>
        <v>1.76</v>
      </c>
      <c r="I54" s="1">
        <f t="shared" si="0"/>
        <v>55.5333333333333</v>
      </c>
    </row>
    <row r="55" spans="1:9">
      <c r="A55" s="1" t="s">
        <v>62</v>
      </c>
      <c r="B55" s="1">
        <v>58</v>
      </c>
      <c r="C55" s="1">
        <v>60</v>
      </c>
      <c r="D55" s="1">
        <v>34</v>
      </c>
      <c r="E55" s="1">
        <f t="shared" si="5"/>
        <v>32.8666666666667</v>
      </c>
      <c r="F55" s="1">
        <f t="shared" si="6"/>
        <v>34</v>
      </c>
      <c r="G55" s="1">
        <f t="shared" si="7"/>
        <v>3.04</v>
      </c>
      <c r="H55" s="1">
        <f t="shared" si="8"/>
        <v>2.94</v>
      </c>
      <c r="I55" s="1">
        <f t="shared" si="0"/>
        <v>33.4333333333333</v>
      </c>
    </row>
    <row r="56" spans="1:9">
      <c r="A56" s="1" t="s">
        <v>63</v>
      </c>
      <c r="B56" s="1">
        <v>58</v>
      </c>
      <c r="C56" s="1">
        <v>60</v>
      </c>
      <c r="D56" s="1">
        <v>44</v>
      </c>
      <c r="E56" s="1">
        <f t="shared" si="5"/>
        <v>42.5333333333333</v>
      </c>
      <c r="F56" s="1">
        <f t="shared" si="6"/>
        <v>44</v>
      </c>
      <c r="G56" s="1">
        <f t="shared" si="7"/>
        <v>2.35</v>
      </c>
      <c r="H56" s="1">
        <f t="shared" si="8"/>
        <v>2.27</v>
      </c>
      <c r="I56" s="1">
        <f t="shared" si="0"/>
        <v>43.2666666666667</v>
      </c>
    </row>
    <row r="57" spans="1:9">
      <c r="A57" s="1" t="s">
        <v>64</v>
      </c>
      <c r="B57" s="1">
        <v>55</v>
      </c>
      <c r="C57" s="1">
        <v>50</v>
      </c>
      <c r="D57" s="1">
        <v>261</v>
      </c>
      <c r="E57" s="1">
        <f t="shared" si="5"/>
        <v>239.25</v>
      </c>
      <c r="F57" s="1">
        <f t="shared" si="6"/>
        <v>217.5</v>
      </c>
      <c r="G57" s="1">
        <f t="shared" si="7"/>
        <v>0.42</v>
      </c>
      <c r="H57" s="1">
        <f t="shared" si="8"/>
        <v>0.46</v>
      </c>
      <c r="I57" s="1">
        <f t="shared" si="0"/>
        <v>228.375</v>
      </c>
    </row>
    <row r="58" spans="1:9">
      <c r="A58" s="1" t="s">
        <v>65</v>
      </c>
      <c r="B58" s="1">
        <v>55</v>
      </c>
      <c r="C58" s="1">
        <v>50</v>
      </c>
      <c r="D58" s="1">
        <v>231</v>
      </c>
      <c r="E58" s="1">
        <f t="shared" si="5"/>
        <v>211.75</v>
      </c>
      <c r="F58" s="1">
        <f t="shared" si="6"/>
        <v>192.5</v>
      </c>
      <c r="G58" s="1">
        <f t="shared" si="7"/>
        <v>0.47</v>
      </c>
      <c r="H58" s="1">
        <f t="shared" si="8"/>
        <v>0.52</v>
      </c>
      <c r="I58" s="1">
        <f t="shared" si="0"/>
        <v>202.125</v>
      </c>
    </row>
    <row r="59" spans="1:9">
      <c r="A59" s="1" t="s">
        <v>66</v>
      </c>
      <c r="B59" s="1">
        <v>55</v>
      </c>
      <c r="C59" s="1">
        <v>50</v>
      </c>
      <c r="D59" s="1">
        <v>227</v>
      </c>
      <c r="E59" s="1">
        <f t="shared" si="5"/>
        <v>208.083333333333</v>
      </c>
      <c r="F59" s="1">
        <f t="shared" si="6"/>
        <v>189.166666666667</v>
      </c>
      <c r="G59" s="1">
        <f t="shared" si="7"/>
        <v>0.48</v>
      </c>
      <c r="H59" s="1">
        <f t="shared" si="8"/>
        <v>0.53</v>
      </c>
      <c r="I59" s="1">
        <f t="shared" si="0"/>
        <v>198.625</v>
      </c>
    </row>
    <row r="60" spans="1:9">
      <c r="A60" s="1" t="s">
        <v>67</v>
      </c>
      <c r="B60" s="1">
        <v>55</v>
      </c>
      <c r="C60" s="1">
        <v>50</v>
      </c>
      <c r="D60" s="1">
        <v>201</v>
      </c>
      <c r="E60" s="1">
        <f t="shared" si="5"/>
        <v>184.25</v>
      </c>
      <c r="F60" s="1">
        <f t="shared" si="6"/>
        <v>167.5</v>
      </c>
      <c r="G60" s="1">
        <f t="shared" si="7"/>
        <v>0.54</v>
      </c>
      <c r="H60" s="1">
        <f t="shared" si="8"/>
        <v>0.6</v>
      </c>
      <c r="I60" s="1">
        <f t="shared" si="0"/>
        <v>175.875</v>
      </c>
    </row>
    <row r="61" spans="1:9">
      <c r="A61" s="1" t="s">
        <v>68</v>
      </c>
      <c r="B61" s="1">
        <v>55</v>
      </c>
      <c r="C61" s="1">
        <v>55</v>
      </c>
      <c r="D61" s="1">
        <v>378</v>
      </c>
      <c r="E61" s="1">
        <f t="shared" si="5"/>
        <v>346.5</v>
      </c>
      <c r="F61" s="1">
        <f t="shared" si="6"/>
        <v>346.5</v>
      </c>
      <c r="G61" s="1">
        <f t="shared" si="7"/>
        <v>0.29</v>
      </c>
      <c r="H61" s="1">
        <f t="shared" si="8"/>
        <v>0.29</v>
      </c>
      <c r="I61" s="1">
        <f t="shared" si="0"/>
        <v>346.5</v>
      </c>
    </row>
    <row r="62" spans="1:9">
      <c r="A62" s="1" t="s">
        <v>69</v>
      </c>
      <c r="B62" s="1">
        <v>49</v>
      </c>
      <c r="C62" s="1">
        <v>48</v>
      </c>
      <c r="D62" s="1">
        <v>444</v>
      </c>
      <c r="E62" s="1">
        <f t="shared" si="5"/>
        <v>362.6</v>
      </c>
      <c r="F62" s="1">
        <f t="shared" si="6"/>
        <v>355.2</v>
      </c>
      <c r="G62" s="1">
        <f t="shared" si="7"/>
        <v>0.28</v>
      </c>
      <c r="H62" s="1">
        <f t="shared" si="8"/>
        <v>0.28</v>
      </c>
      <c r="I62" s="1">
        <f t="shared" si="0"/>
        <v>358.9</v>
      </c>
    </row>
    <row r="63" spans="1:9">
      <c r="A63" s="1" t="s">
        <v>70</v>
      </c>
      <c r="B63" s="1">
        <v>41</v>
      </c>
      <c r="C63" s="1">
        <v>39</v>
      </c>
      <c r="D63" s="1">
        <v>632</v>
      </c>
      <c r="E63" s="1">
        <f t="shared" si="5"/>
        <v>431.866666666667</v>
      </c>
      <c r="F63" s="1">
        <f t="shared" si="6"/>
        <v>410.8</v>
      </c>
      <c r="G63" s="1">
        <f t="shared" si="7"/>
        <v>0.23</v>
      </c>
      <c r="H63" s="1">
        <f t="shared" si="8"/>
        <v>0.24</v>
      </c>
      <c r="I63" s="1">
        <f t="shared" si="0"/>
        <v>421.333333333333</v>
      </c>
    </row>
    <row r="64" spans="1:9">
      <c r="A64" s="1" t="s">
        <v>71</v>
      </c>
      <c r="B64" s="1">
        <v>56</v>
      </c>
      <c r="C64" s="1">
        <v>56</v>
      </c>
      <c r="D64" s="1">
        <v>261</v>
      </c>
      <c r="E64" s="1">
        <f t="shared" si="5"/>
        <v>243.6</v>
      </c>
      <c r="F64" s="1">
        <f t="shared" si="6"/>
        <v>243.6</v>
      </c>
      <c r="G64" s="1">
        <f t="shared" si="7"/>
        <v>0.41</v>
      </c>
      <c r="H64" s="1">
        <f t="shared" si="8"/>
        <v>0.41</v>
      </c>
      <c r="I64" s="1">
        <f t="shared" si="0"/>
        <v>243.6</v>
      </c>
    </row>
    <row r="65" spans="1:9">
      <c r="A65" s="1" t="s">
        <v>72</v>
      </c>
      <c r="B65" s="1">
        <v>38</v>
      </c>
      <c r="C65" s="1">
        <v>34</v>
      </c>
      <c r="D65" s="1">
        <v>513</v>
      </c>
      <c r="E65" s="1">
        <f t="shared" si="5"/>
        <v>324.9</v>
      </c>
      <c r="F65" s="1">
        <f t="shared" si="6"/>
        <v>290.7</v>
      </c>
      <c r="G65" s="1">
        <f t="shared" si="7"/>
        <v>0.31</v>
      </c>
      <c r="H65" s="1">
        <f t="shared" si="8"/>
        <v>0.34</v>
      </c>
      <c r="I65" s="1">
        <f t="shared" si="0"/>
        <v>307.8</v>
      </c>
    </row>
    <row r="66" spans="1:9">
      <c r="A66" s="1" t="s">
        <v>73</v>
      </c>
      <c r="B66" s="1">
        <v>38</v>
      </c>
      <c r="C66" s="1">
        <v>32</v>
      </c>
      <c r="D66" s="1">
        <v>683</v>
      </c>
      <c r="E66" s="1">
        <f t="shared" si="5"/>
        <v>432.566666666667</v>
      </c>
      <c r="F66" s="1">
        <f t="shared" si="6"/>
        <v>364.266666666667</v>
      </c>
      <c r="G66" s="1">
        <f t="shared" si="7"/>
        <v>0.23</v>
      </c>
      <c r="H66" s="1">
        <f t="shared" si="8"/>
        <v>0.27</v>
      </c>
      <c r="I66" s="1">
        <f t="shared" ref="I66:I129" si="9">AVERAGE(E66,F66)</f>
        <v>398.416666666667</v>
      </c>
    </row>
    <row r="67" spans="1:9">
      <c r="A67" s="1" t="s">
        <v>74</v>
      </c>
      <c r="B67" s="1">
        <v>38</v>
      </c>
      <c r="C67" s="1">
        <v>32</v>
      </c>
      <c r="D67" s="1">
        <v>628</v>
      </c>
      <c r="E67" s="1">
        <f t="shared" ref="E67:E98" si="10">PRODUCT(B67,D67,1/60)</f>
        <v>397.733333333333</v>
      </c>
      <c r="F67" s="1">
        <f t="shared" ref="F67:F98" si="11">PRODUCT(C67,D67,1/60)</f>
        <v>334.933333333333</v>
      </c>
      <c r="G67" s="1">
        <f t="shared" ref="G67:G98" si="12">ROUND(100/E67,2)</f>
        <v>0.25</v>
      </c>
      <c r="H67" s="1">
        <f t="shared" ref="H67:H98" si="13">ROUND(100/F67,2)</f>
        <v>0.3</v>
      </c>
      <c r="I67" s="1">
        <f t="shared" si="9"/>
        <v>366.333333333333</v>
      </c>
    </row>
    <row r="68" spans="1:9">
      <c r="A68" s="1" t="s">
        <v>75</v>
      </c>
      <c r="B68" s="1">
        <v>38</v>
      </c>
      <c r="C68" s="1">
        <v>32</v>
      </c>
      <c r="D68" s="1">
        <v>748</v>
      </c>
      <c r="E68" s="1">
        <f t="shared" si="10"/>
        <v>473.733333333333</v>
      </c>
      <c r="F68" s="1">
        <f t="shared" si="11"/>
        <v>398.933333333333</v>
      </c>
      <c r="G68" s="1">
        <f t="shared" si="12"/>
        <v>0.21</v>
      </c>
      <c r="H68" s="1">
        <f t="shared" si="13"/>
        <v>0.25</v>
      </c>
      <c r="I68" s="1">
        <f t="shared" si="9"/>
        <v>436.333333333333</v>
      </c>
    </row>
    <row r="69" spans="1:9">
      <c r="A69" s="1" t="s">
        <v>76</v>
      </c>
      <c r="B69" s="1">
        <v>53</v>
      </c>
      <c r="C69" s="1">
        <v>55</v>
      </c>
      <c r="D69" s="1">
        <v>479</v>
      </c>
      <c r="E69" s="1">
        <f t="shared" si="10"/>
        <v>423.116666666667</v>
      </c>
      <c r="F69" s="1">
        <f t="shared" si="11"/>
        <v>439.083333333333</v>
      </c>
      <c r="G69" s="1">
        <f t="shared" si="12"/>
        <v>0.24</v>
      </c>
      <c r="H69" s="1">
        <f t="shared" si="13"/>
        <v>0.23</v>
      </c>
      <c r="I69" s="1">
        <f t="shared" si="9"/>
        <v>431.1</v>
      </c>
    </row>
    <row r="70" spans="1:9">
      <c r="A70" s="1" t="s">
        <v>77</v>
      </c>
      <c r="B70" s="1">
        <v>38</v>
      </c>
      <c r="C70" s="1">
        <v>30</v>
      </c>
      <c r="D70" s="1">
        <v>746</v>
      </c>
      <c r="E70" s="1">
        <f t="shared" si="10"/>
        <v>472.466666666667</v>
      </c>
      <c r="F70" s="1">
        <f t="shared" si="11"/>
        <v>373</v>
      </c>
      <c r="G70" s="1">
        <f t="shared" si="12"/>
        <v>0.21</v>
      </c>
      <c r="H70" s="1">
        <f t="shared" si="13"/>
        <v>0.27</v>
      </c>
      <c r="I70" s="1">
        <f t="shared" si="9"/>
        <v>422.733333333333</v>
      </c>
    </row>
    <row r="71" spans="1:9">
      <c r="A71" s="1" t="s">
        <v>78</v>
      </c>
      <c r="B71" s="1">
        <v>42</v>
      </c>
      <c r="C71" s="1">
        <v>45</v>
      </c>
      <c r="D71" s="1">
        <v>582</v>
      </c>
      <c r="E71" s="1">
        <f t="shared" si="10"/>
        <v>407.4</v>
      </c>
      <c r="F71" s="1">
        <f t="shared" si="11"/>
        <v>436.5</v>
      </c>
      <c r="G71" s="1">
        <f t="shared" si="12"/>
        <v>0.25</v>
      </c>
      <c r="H71" s="1">
        <f t="shared" si="13"/>
        <v>0.23</v>
      </c>
      <c r="I71" s="1">
        <f t="shared" si="9"/>
        <v>421.95</v>
      </c>
    </row>
    <row r="72" spans="1:9">
      <c r="A72" s="1" t="s">
        <v>79</v>
      </c>
      <c r="B72" s="1">
        <v>16</v>
      </c>
      <c r="C72" s="1">
        <v>14</v>
      </c>
      <c r="D72" s="1">
        <v>261</v>
      </c>
      <c r="E72" s="1">
        <f t="shared" si="10"/>
        <v>69.6</v>
      </c>
      <c r="F72" s="1">
        <f t="shared" si="11"/>
        <v>60.9</v>
      </c>
      <c r="G72" s="1">
        <f t="shared" si="12"/>
        <v>1.44</v>
      </c>
      <c r="H72" s="1">
        <f t="shared" si="13"/>
        <v>1.64</v>
      </c>
      <c r="I72" s="1">
        <f t="shared" si="9"/>
        <v>65.25</v>
      </c>
    </row>
    <row r="73" spans="1:9">
      <c r="A73" s="1" t="s">
        <v>80</v>
      </c>
      <c r="B73" s="1">
        <v>30</v>
      </c>
      <c r="C73" s="1">
        <v>34</v>
      </c>
      <c r="D73" s="1">
        <v>793</v>
      </c>
      <c r="E73" s="1">
        <f t="shared" si="10"/>
        <v>396.5</v>
      </c>
      <c r="F73" s="1">
        <f t="shared" si="11"/>
        <v>449.366666666667</v>
      </c>
      <c r="G73" s="1">
        <f t="shared" si="12"/>
        <v>0.25</v>
      </c>
      <c r="H73" s="1">
        <f t="shared" si="13"/>
        <v>0.22</v>
      </c>
      <c r="I73" s="1">
        <f t="shared" si="9"/>
        <v>422.933333333333</v>
      </c>
    </row>
    <row r="74" spans="1:9">
      <c r="A74" s="1" t="s">
        <v>81</v>
      </c>
      <c r="B74" s="1">
        <v>27</v>
      </c>
      <c r="C74" s="1">
        <v>32</v>
      </c>
      <c r="D74" s="1">
        <v>872</v>
      </c>
      <c r="E74" s="1">
        <f t="shared" si="10"/>
        <v>392.4</v>
      </c>
      <c r="F74" s="1">
        <f t="shared" si="11"/>
        <v>465.066666666667</v>
      </c>
      <c r="G74" s="1">
        <f t="shared" si="12"/>
        <v>0.25</v>
      </c>
      <c r="H74" s="1">
        <f t="shared" si="13"/>
        <v>0.22</v>
      </c>
      <c r="I74" s="1">
        <f t="shared" si="9"/>
        <v>428.733333333333</v>
      </c>
    </row>
    <row r="75" spans="1:9">
      <c r="A75" s="1" t="s">
        <v>82</v>
      </c>
      <c r="B75" s="1">
        <v>27</v>
      </c>
      <c r="C75" s="1">
        <v>32</v>
      </c>
      <c r="D75" s="1">
        <v>758</v>
      </c>
      <c r="E75" s="1">
        <f t="shared" si="10"/>
        <v>341.1</v>
      </c>
      <c r="F75" s="1">
        <f t="shared" si="11"/>
        <v>404.266666666667</v>
      </c>
      <c r="G75" s="1">
        <f t="shared" si="12"/>
        <v>0.29</v>
      </c>
      <c r="H75" s="1">
        <f t="shared" si="13"/>
        <v>0.25</v>
      </c>
      <c r="I75" s="1">
        <f t="shared" si="9"/>
        <v>372.683333333333</v>
      </c>
    </row>
    <row r="76" spans="1:9">
      <c r="A76" s="1" t="s">
        <v>83</v>
      </c>
      <c r="B76" s="1">
        <v>30</v>
      </c>
      <c r="C76" s="1">
        <v>34</v>
      </c>
      <c r="D76" s="1">
        <v>690</v>
      </c>
      <c r="E76" s="1">
        <f t="shared" si="10"/>
        <v>345</v>
      </c>
      <c r="F76" s="1">
        <f t="shared" si="11"/>
        <v>391</v>
      </c>
      <c r="G76" s="1">
        <f t="shared" si="12"/>
        <v>0.29</v>
      </c>
      <c r="H76" s="1">
        <f t="shared" si="13"/>
        <v>0.26</v>
      </c>
      <c r="I76" s="1">
        <f t="shared" si="9"/>
        <v>368</v>
      </c>
    </row>
    <row r="77" spans="1:9">
      <c r="A77" s="1" t="s">
        <v>84</v>
      </c>
      <c r="B77" s="1">
        <v>33</v>
      </c>
      <c r="C77" s="1">
        <v>36</v>
      </c>
      <c r="D77" s="1">
        <v>763</v>
      </c>
      <c r="E77" s="1">
        <f t="shared" si="10"/>
        <v>419.65</v>
      </c>
      <c r="F77" s="1">
        <f t="shared" si="11"/>
        <v>457.8</v>
      </c>
      <c r="G77" s="1">
        <f t="shared" si="12"/>
        <v>0.24</v>
      </c>
      <c r="H77" s="1">
        <f t="shared" si="13"/>
        <v>0.22</v>
      </c>
      <c r="I77" s="1">
        <f t="shared" si="9"/>
        <v>438.725</v>
      </c>
    </row>
    <row r="78" spans="1:9">
      <c r="A78" s="1" t="s">
        <v>85</v>
      </c>
      <c r="B78" s="1">
        <v>33</v>
      </c>
      <c r="C78" s="1">
        <v>36</v>
      </c>
      <c r="D78" s="1">
        <v>664</v>
      </c>
      <c r="E78" s="1">
        <f t="shared" si="10"/>
        <v>365.2</v>
      </c>
      <c r="F78" s="1">
        <f t="shared" si="11"/>
        <v>398.4</v>
      </c>
      <c r="G78" s="1">
        <f t="shared" si="12"/>
        <v>0.27</v>
      </c>
      <c r="H78" s="1">
        <f t="shared" si="13"/>
        <v>0.25</v>
      </c>
      <c r="I78" s="1">
        <f t="shared" si="9"/>
        <v>381.8</v>
      </c>
    </row>
    <row r="79" spans="1:9">
      <c r="A79" s="1" t="s">
        <v>86</v>
      </c>
      <c r="B79" s="1">
        <v>33</v>
      </c>
      <c r="C79" s="1">
        <v>36</v>
      </c>
      <c r="D79" s="1">
        <v>694</v>
      </c>
      <c r="E79" s="1">
        <f t="shared" si="10"/>
        <v>381.7</v>
      </c>
      <c r="F79" s="1">
        <f t="shared" si="11"/>
        <v>416.4</v>
      </c>
      <c r="G79" s="1">
        <f t="shared" si="12"/>
        <v>0.26</v>
      </c>
      <c r="H79" s="1">
        <f t="shared" si="13"/>
        <v>0.24</v>
      </c>
      <c r="I79" s="1">
        <f t="shared" si="9"/>
        <v>399.05</v>
      </c>
    </row>
    <row r="80" spans="1:9">
      <c r="A80" s="1" t="s">
        <v>87</v>
      </c>
      <c r="B80" s="1">
        <v>33</v>
      </c>
      <c r="C80" s="1">
        <v>36</v>
      </c>
      <c r="D80" s="1">
        <v>848</v>
      </c>
      <c r="E80" s="1">
        <f t="shared" si="10"/>
        <v>466.4</v>
      </c>
      <c r="F80" s="1">
        <f t="shared" si="11"/>
        <v>508.8</v>
      </c>
      <c r="G80" s="1">
        <f t="shared" si="12"/>
        <v>0.21</v>
      </c>
      <c r="H80" s="1">
        <f t="shared" si="13"/>
        <v>0.2</v>
      </c>
      <c r="I80" s="1">
        <f t="shared" si="9"/>
        <v>487.6</v>
      </c>
    </row>
    <row r="81" spans="1:9">
      <c r="A81" s="1" t="s">
        <v>88</v>
      </c>
      <c r="B81" s="1">
        <v>33</v>
      </c>
      <c r="C81" s="1">
        <v>36</v>
      </c>
      <c r="D81" s="1">
        <v>727</v>
      </c>
      <c r="E81" s="1">
        <f t="shared" si="10"/>
        <v>399.85</v>
      </c>
      <c r="F81" s="1">
        <f t="shared" si="11"/>
        <v>436.2</v>
      </c>
      <c r="G81" s="1">
        <f t="shared" si="12"/>
        <v>0.25</v>
      </c>
      <c r="H81" s="1">
        <f t="shared" si="13"/>
        <v>0.23</v>
      </c>
      <c r="I81" s="1">
        <f t="shared" si="9"/>
        <v>418.025</v>
      </c>
    </row>
    <row r="82" spans="1:9">
      <c r="A82" s="1" t="s">
        <v>89</v>
      </c>
      <c r="B82" s="1">
        <v>33</v>
      </c>
      <c r="C82" s="1">
        <v>36</v>
      </c>
      <c r="D82" s="1">
        <v>611</v>
      </c>
      <c r="E82" s="1">
        <f t="shared" si="10"/>
        <v>336.05</v>
      </c>
      <c r="F82" s="1">
        <f t="shared" si="11"/>
        <v>366.6</v>
      </c>
      <c r="G82" s="1">
        <f t="shared" si="12"/>
        <v>0.3</v>
      </c>
      <c r="H82" s="1">
        <f t="shared" si="13"/>
        <v>0.27</v>
      </c>
      <c r="I82" s="1">
        <f t="shared" si="9"/>
        <v>351.325</v>
      </c>
    </row>
    <row r="83" spans="1:9">
      <c r="A83" s="1" t="s">
        <v>90</v>
      </c>
      <c r="B83" s="1">
        <v>28</v>
      </c>
      <c r="C83" s="1">
        <v>32</v>
      </c>
      <c r="D83" s="1">
        <v>950</v>
      </c>
      <c r="E83" s="1">
        <f t="shared" si="10"/>
        <v>443.333333333333</v>
      </c>
      <c r="F83" s="1">
        <f t="shared" si="11"/>
        <v>506.666666666667</v>
      </c>
      <c r="G83" s="1">
        <f t="shared" si="12"/>
        <v>0.23</v>
      </c>
      <c r="H83" s="1">
        <f t="shared" si="13"/>
        <v>0.2</v>
      </c>
      <c r="I83" s="1">
        <f t="shared" si="9"/>
        <v>475</v>
      </c>
    </row>
    <row r="84" spans="1:9">
      <c r="A84" s="1" t="s">
        <v>91</v>
      </c>
      <c r="B84" s="1">
        <v>28</v>
      </c>
      <c r="C84" s="1">
        <v>32</v>
      </c>
      <c r="D84" s="1">
        <v>826</v>
      </c>
      <c r="E84" s="1">
        <f t="shared" si="10"/>
        <v>385.466666666667</v>
      </c>
      <c r="F84" s="1">
        <f t="shared" si="11"/>
        <v>440.533333333333</v>
      </c>
      <c r="G84" s="1">
        <f t="shared" si="12"/>
        <v>0.26</v>
      </c>
      <c r="H84" s="1">
        <f t="shared" si="13"/>
        <v>0.23</v>
      </c>
      <c r="I84" s="1">
        <f t="shared" si="9"/>
        <v>413</v>
      </c>
    </row>
    <row r="85" spans="1:9">
      <c r="A85" s="1" t="s">
        <v>92</v>
      </c>
      <c r="B85" s="1">
        <v>35</v>
      </c>
      <c r="C85" s="1">
        <v>36</v>
      </c>
      <c r="D85" s="1">
        <v>700</v>
      </c>
      <c r="E85" s="1">
        <f t="shared" si="10"/>
        <v>408.333333333333</v>
      </c>
      <c r="F85" s="1">
        <f t="shared" si="11"/>
        <v>420</v>
      </c>
      <c r="G85" s="1">
        <f t="shared" si="12"/>
        <v>0.24</v>
      </c>
      <c r="H85" s="1">
        <f t="shared" si="13"/>
        <v>0.24</v>
      </c>
      <c r="I85" s="1">
        <f t="shared" si="9"/>
        <v>414.166666666667</v>
      </c>
    </row>
    <row r="86" spans="1:9">
      <c r="A86" s="1" t="s">
        <v>93</v>
      </c>
      <c r="B86" s="1">
        <v>35</v>
      </c>
      <c r="C86" s="1">
        <v>36</v>
      </c>
      <c r="D86" s="1">
        <v>609</v>
      </c>
      <c r="E86" s="1">
        <f t="shared" si="10"/>
        <v>355.25</v>
      </c>
      <c r="F86" s="1">
        <f t="shared" si="11"/>
        <v>365.4</v>
      </c>
      <c r="G86" s="1">
        <f t="shared" si="12"/>
        <v>0.28</v>
      </c>
      <c r="H86" s="1">
        <f t="shared" si="13"/>
        <v>0.27</v>
      </c>
      <c r="I86" s="1">
        <f t="shared" si="9"/>
        <v>360.325</v>
      </c>
    </row>
    <row r="87" spans="1:9">
      <c r="A87" s="1" t="s">
        <v>94</v>
      </c>
      <c r="B87" s="1">
        <v>48</v>
      </c>
      <c r="C87" s="1">
        <v>36</v>
      </c>
      <c r="D87" s="1">
        <v>747</v>
      </c>
      <c r="E87" s="1">
        <f t="shared" si="10"/>
        <v>597.6</v>
      </c>
      <c r="F87" s="1">
        <f t="shared" si="11"/>
        <v>448.2</v>
      </c>
      <c r="G87" s="1">
        <f t="shared" si="12"/>
        <v>0.17</v>
      </c>
      <c r="H87" s="1">
        <f t="shared" si="13"/>
        <v>0.22</v>
      </c>
      <c r="I87" s="1">
        <f t="shared" si="9"/>
        <v>522.9</v>
      </c>
    </row>
    <row r="88" spans="1:9">
      <c r="A88" s="1" t="s">
        <v>95</v>
      </c>
      <c r="B88" s="1">
        <v>48</v>
      </c>
      <c r="C88" s="1">
        <v>36</v>
      </c>
      <c r="D88" s="1">
        <v>650</v>
      </c>
      <c r="E88" s="1">
        <f t="shared" si="10"/>
        <v>520</v>
      </c>
      <c r="F88" s="1">
        <f t="shared" si="11"/>
        <v>390</v>
      </c>
      <c r="G88" s="1">
        <f t="shared" si="12"/>
        <v>0.19</v>
      </c>
      <c r="H88" s="1">
        <f t="shared" si="13"/>
        <v>0.26</v>
      </c>
      <c r="I88" s="1">
        <f t="shared" si="9"/>
        <v>455</v>
      </c>
    </row>
    <row r="89" spans="1:9">
      <c r="A89" s="1" t="s">
        <v>96</v>
      </c>
      <c r="B89" s="1">
        <v>40</v>
      </c>
      <c r="C89" s="1">
        <v>35</v>
      </c>
      <c r="D89" s="1">
        <v>605</v>
      </c>
      <c r="E89" s="1">
        <f t="shared" si="10"/>
        <v>403.333333333333</v>
      </c>
      <c r="F89" s="1">
        <f t="shared" si="11"/>
        <v>352.916666666667</v>
      </c>
      <c r="G89" s="1">
        <f t="shared" si="12"/>
        <v>0.25</v>
      </c>
      <c r="H89" s="1">
        <f t="shared" si="13"/>
        <v>0.28</v>
      </c>
      <c r="I89" s="1">
        <f t="shared" si="9"/>
        <v>378.125</v>
      </c>
    </row>
    <row r="90" spans="1:9">
      <c r="A90" s="1" t="s">
        <v>97</v>
      </c>
      <c r="B90" s="1">
        <v>40</v>
      </c>
      <c r="C90" s="1">
        <v>35</v>
      </c>
      <c r="D90" s="1">
        <v>526</v>
      </c>
      <c r="E90" s="1">
        <f t="shared" si="10"/>
        <v>350.666666666667</v>
      </c>
      <c r="F90" s="1">
        <f t="shared" si="11"/>
        <v>306.833333333333</v>
      </c>
      <c r="G90" s="1">
        <f t="shared" si="12"/>
        <v>0.29</v>
      </c>
      <c r="H90" s="1">
        <f t="shared" si="13"/>
        <v>0.33</v>
      </c>
      <c r="I90" s="1">
        <f t="shared" si="9"/>
        <v>328.75</v>
      </c>
    </row>
    <row r="91" spans="1:9">
      <c r="A91" s="1" t="s">
        <v>98</v>
      </c>
      <c r="B91" s="1">
        <v>35</v>
      </c>
      <c r="C91" s="1">
        <v>32</v>
      </c>
      <c r="D91" s="1">
        <v>659</v>
      </c>
      <c r="E91" s="1">
        <f t="shared" si="10"/>
        <v>384.416666666667</v>
      </c>
      <c r="F91" s="1">
        <f t="shared" si="11"/>
        <v>351.466666666667</v>
      </c>
      <c r="G91" s="1">
        <f t="shared" si="12"/>
        <v>0.26</v>
      </c>
      <c r="H91" s="1">
        <f t="shared" si="13"/>
        <v>0.28</v>
      </c>
      <c r="I91" s="1">
        <f t="shared" si="9"/>
        <v>367.941666666667</v>
      </c>
    </row>
    <row r="92" spans="1:9">
      <c r="A92" s="1" t="s">
        <v>99</v>
      </c>
      <c r="B92" s="1">
        <v>35</v>
      </c>
      <c r="C92" s="1">
        <v>32</v>
      </c>
      <c r="D92" s="1">
        <v>573</v>
      </c>
      <c r="E92" s="1">
        <f t="shared" si="10"/>
        <v>334.25</v>
      </c>
      <c r="F92" s="1">
        <f t="shared" si="11"/>
        <v>305.6</v>
      </c>
      <c r="G92" s="1">
        <f t="shared" si="12"/>
        <v>0.3</v>
      </c>
      <c r="H92" s="1">
        <f t="shared" si="13"/>
        <v>0.33</v>
      </c>
      <c r="I92" s="1">
        <f t="shared" si="9"/>
        <v>319.925</v>
      </c>
    </row>
    <row r="93" spans="1:9">
      <c r="A93" s="1" t="s">
        <v>100</v>
      </c>
      <c r="B93" s="1">
        <v>35</v>
      </c>
      <c r="C93" s="1">
        <v>28</v>
      </c>
      <c r="D93" s="1">
        <v>780</v>
      </c>
      <c r="E93" s="1">
        <f t="shared" si="10"/>
        <v>455</v>
      </c>
      <c r="F93" s="1">
        <f t="shared" si="11"/>
        <v>364</v>
      </c>
      <c r="G93" s="1">
        <f t="shared" si="12"/>
        <v>0.22</v>
      </c>
      <c r="H93" s="1">
        <f t="shared" si="13"/>
        <v>0.27</v>
      </c>
      <c r="I93" s="1">
        <f t="shared" si="9"/>
        <v>409.5</v>
      </c>
    </row>
    <row r="94" spans="1:9">
      <c r="A94" s="1" t="s">
        <v>101</v>
      </c>
      <c r="B94" s="1">
        <v>35</v>
      </c>
      <c r="C94" s="1">
        <v>28</v>
      </c>
      <c r="D94" s="1">
        <v>678</v>
      </c>
      <c r="E94" s="1">
        <f t="shared" si="10"/>
        <v>395.5</v>
      </c>
      <c r="F94" s="1">
        <f t="shared" si="11"/>
        <v>316.4</v>
      </c>
      <c r="G94" s="1">
        <f t="shared" si="12"/>
        <v>0.25</v>
      </c>
      <c r="H94" s="1">
        <f t="shared" si="13"/>
        <v>0.32</v>
      </c>
      <c r="I94" s="1">
        <f t="shared" si="9"/>
        <v>355.95</v>
      </c>
    </row>
    <row r="95" spans="1:9">
      <c r="A95" s="1" t="s">
        <v>102</v>
      </c>
      <c r="B95" s="1">
        <v>28</v>
      </c>
      <c r="C95" s="1">
        <v>32</v>
      </c>
      <c r="D95" s="1">
        <v>1091</v>
      </c>
      <c r="E95" s="1">
        <f t="shared" si="10"/>
        <v>509.133333333333</v>
      </c>
      <c r="F95" s="1">
        <f t="shared" si="11"/>
        <v>581.866666666667</v>
      </c>
      <c r="G95" s="1">
        <f t="shared" si="12"/>
        <v>0.2</v>
      </c>
      <c r="H95" s="1">
        <f t="shared" si="13"/>
        <v>0.17</v>
      </c>
      <c r="I95" s="1">
        <f t="shared" si="9"/>
        <v>545.5</v>
      </c>
    </row>
    <row r="96" spans="1:9">
      <c r="A96" s="1" t="s">
        <v>103</v>
      </c>
      <c r="B96" s="1">
        <v>28</v>
      </c>
      <c r="C96" s="1">
        <v>32</v>
      </c>
      <c r="D96" s="1">
        <v>949</v>
      </c>
      <c r="E96" s="1">
        <f t="shared" si="10"/>
        <v>442.866666666667</v>
      </c>
      <c r="F96" s="1">
        <f t="shared" si="11"/>
        <v>506.133333333333</v>
      </c>
      <c r="G96" s="1">
        <f t="shared" si="12"/>
        <v>0.23</v>
      </c>
      <c r="H96" s="1">
        <f t="shared" si="13"/>
        <v>0.2</v>
      </c>
      <c r="I96" s="1">
        <f t="shared" si="9"/>
        <v>474.5</v>
      </c>
    </row>
    <row r="97" spans="1:9">
      <c r="A97" s="1" t="s">
        <v>104</v>
      </c>
      <c r="B97" s="1">
        <v>35</v>
      </c>
      <c r="C97" s="1">
        <v>32</v>
      </c>
      <c r="D97" s="1">
        <v>898</v>
      </c>
      <c r="E97" s="1">
        <f t="shared" si="10"/>
        <v>523.833333333333</v>
      </c>
      <c r="F97" s="1">
        <f t="shared" si="11"/>
        <v>478.933333333333</v>
      </c>
      <c r="G97" s="1">
        <f t="shared" si="12"/>
        <v>0.19</v>
      </c>
      <c r="H97" s="1">
        <f t="shared" si="13"/>
        <v>0.21</v>
      </c>
      <c r="I97" s="1">
        <f t="shared" si="9"/>
        <v>501.383333333333</v>
      </c>
    </row>
    <row r="98" spans="1:9">
      <c r="A98" s="1" t="s">
        <v>105</v>
      </c>
      <c r="B98" s="1">
        <v>35</v>
      </c>
      <c r="C98" s="1">
        <v>32</v>
      </c>
      <c r="D98" s="1">
        <v>781</v>
      </c>
      <c r="E98" s="1">
        <f t="shared" si="10"/>
        <v>455.583333333333</v>
      </c>
      <c r="F98" s="1">
        <f t="shared" si="11"/>
        <v>416.533333333333</v>
      </c>
      <c r="G98" s="1">
        <f t="shared" si="12"/>
        <v>0.22</v>
      </c>
      <c r="H98" s="1">
        <f t="shared" si="13"/>
        <v>0.24</v>
      </c>
      <c r="I98" s="1">
        <f t="shared" si="9"/>
        <v>436.058333333333</v>
      </c>
    </row>
    <row r="99" spans="1:9">
      <c r="A99" s="1" t="s">
        <v>106</v>
      </c>
      <c r="B99" s="1">
        <v>35</v>
      </c>
      <c r="C99" s="1">
        <v>32</v>
      </c>
      <c r="D99" s="1">
        <v>785</v>
      </c>
      <c r="E99" s="1">
        <f t="shared" ref="E99:E130" si="14">PRODUCT(B99,D99,1/60)</f>
        <v>457.916666666667</v>
      </c>
      <c r="F99" s="1">
        <f t="shared" ref="F99:F130" si="15">PRODUCT(C99,D99,1/60)</f>
        <v>418.666666666667</v>
      </c>
      <c r="G99" s="1">
        <f t="shared" ref="G99:G130" si="16">ROUND(100/E99,2)</f>
        <v>0.22</v>
      </c>
      <c r="H99" s="1">
        <f t="shared" ref="H99:H130" si="17">ROUND(100/F99,2)</f>
        <v>0.24</v>
      </c>
      <c r="I99" s="1">
        <f t="shared" si="9"/>
        <v>438.291666666667</v>
      </c>
    </row>
    <row r="100" spans="1:9">
      <c r="A100" s="1" t="s">
        <v>107</v>
      </c>
      <c r="B100" s="1">
        <v>35</v>
      </c>
      <c r="C100" s="1">
        <v>32</v>
      </c>
      <c r="D100" s="1">
        <v>694</v>
      </c>
      <c r="E100" s="1">
        <f t="shared" si="14"/>
        <v>404.833333333333</v>
      </c>
      <c r="F100" s="1">
        <f t="shared" si="15"/>
        <v>370.133333333333</v>
      </c>
      <c r="G100" s="1">
        <f t="shared" si="16"/>
        <v>0.25</v>
      </c>
      <c r="H100" s="1">
        <f t="shared" si="17"/>
        <v>0.27</v>
      </c>
      <c r="I100" s="1">
        <f t="shared" si="9"/>
        <v>387.483333333333</v>
      </c>
    </row>
    <row r="101" spans="1:9">
      <c r="A101" s="1" t="s">
        <v>108</v>
      </c>
      <c r="B101" s="1">
        <v>32</v>
      </c>
      <c r="C101" s="1">
        <v>30</v>
      </c>
      <c r="D101" s="1">
        <v>820</v>
      </c>
      <c r="E101" s="1">
        <f t="shared" si="14"/>
        <v>437.333333333333</v>
      </c>
      <c r="F101" s="1">
        <f t="shared" si="15"/>
        <v>410</v>
      </c>
      <c r="G101" s="1">
        <f t="shared" si="16"/>
        <v>0.23</v>
      </c>
      <c r="H101" s="1">
        <f t="shared" si="17"/>
        <v>0.24</v>
      </c>
      <c r="I101" s="1">
        <f t="shared" si="9"/>
        <v>423.666666666667</v>
      </c>
    </row>
    <row r="102" spans="1:9">
      <c r="A102" s="1" t="s">
        <v>109</v>
      </c>
      <c r="B102" s="1">
        <v>32</v>
      </c>
      <c r="C102" s="1">
        <v>30</v>
      </c>
      <c r="D102" s="1">
        <v>713</v>
      </c>
      <c r="E102" s="1">
        <f t="shared" si="14"/>
        <v>380.266666666667</v>
      </c>
      <c r="F102" s="1">
        <f t="shared" si="15"/>
        <v>356.5</v>
      </c>
      <c r="G102" s="1">
        <f t="shared" si="16"/>
        <v>0.26</v>
      </c>
      <c r="H102" s="1">
        <f t="shared" si="17"/>
        <v>0.28</v>
      </c>
      <c r="I102" s="1">
        <f t="shared" si="9"/>
        <v>368.383333333333</v>
      </c>
    </row>
    <row r="103" spans="1:9">
      <c r="A103" s="1" t="s">
        <v>110</v>
      </c>
      <c r="B103" s="1">
        <v>26</v>
      </c>
      <c r="C103" s="1">
        <v>34</v>
      </c>
      <c r="D103" s="1">
        <v>840</v>
      </c>
      <c r="E103" s="1">
        <f t="shared" si="14"/>
        <v>364</v>
      </c>
      <c r="F103" s="1">
        <f t="shared" si="15"/>
        <v>476</v>
      </c>
      <c r="G103" s="1">
        <f t="shared" si="16"/>
        <v>0.27</v>
      </c>
      <c r="H103" s="1">
        <f t="shared" si="17"/>
        <v>0.21</v>
      </c>
      <c r="I103" s="1">
        <f t="shared" si="9"/>
        <v>420</v>
      </c>
    </row>
    <row r="104" spans="1:9">
      <c r="A104" s="1" t="s">
        <v>111</v>
      </c>
      <c r="B104" s="1">
        <v>26</v>
      </c>
      <c r="C104" s="1">
        <v>36</v>
      </c>
      <c r="D104" s="1">
        <v>840</v>
      </c>
      <c r="E104" s="1">
        <f t="shared" si="14"/>
        <v>364</v>
      </c>
      <c r="F104" s="1">
        <f t="shared" si="15"/>
        <v>504</v>
      </c>
      <c r="G104" s="1">
        <f t="shared" si="16"/>
        <v>0.27</v>
      </c>
      <c r="H104" s="1">
        <f t="shared" si="17"/>
        <v>0.2</v>
      </c>
      <c r="I104" s="1">
        <f t="shared" si="9"/>
        <v>434</v>
      </c>
    </row>
    <row r="105" spans="1:9">
      <c r="A105" s="1" t="s">
        <v>112</v>
      </c>
      <c r="B105" s="1">
        <v>26</v>
      </c>
      <c r="C105" s="1">
        <v>36</v>
      </c>
      <c r="D105" s="1">
        <v>870</v>
      </c>
      <c r="E105" s="1">
        <f t="shared" si="14"/>
        <v>377</v>
      </c>
      <c r="F105" s="1">
        <f t="shared" si="15"/>
        <v>522</v>
      </c>
      <c r="G105" s="1">
        <f t="shared" si="16"/>
        <v>0.27</v>
      </c>
      <c r="H105" s="1">
        <f t="shared" si="17"/>
        <v>0.19</v>
      </c>
      <c r="I105" s="1">
        <f t="shared" si="9"/>
        <v>449.5</v>
      </c>
    </row>
    <row r="106" spans="1:9">
      <c r="A106" s="1" t="s">
        <v>113</v>
      </c>
      <c r="B106" s="1">
        <v>26</v>
      </c>
      <c r="C106" s="1">
        <v>34</v>
      </c>
      <c r="D106" s="1">
        <v>731</v>
      </c>
      <c r="E106" s="1">
        <f t="shared" si="14"/>
        <v>316.766666666667</v>
      </c>
      <c r="F106" s="1">
        <f t="shared" si="15"/>
        <v>414.233333333333</v>
      </c>
      <c r="G106" s="1">
        <f t="shared" si="16"/>
        <v>0.32</v>
      </c>
      <c r="H106" s="1">
        <f t="shared" si="17"/>
        <v>0.24</v>
      </c>
      <c r="I106" s="1">
        <f t="shared" si="9"/>
        <v>365.5</v>
      </c>
    </row>
    <row r="107" spans="1:9">
      <c r="A107" s="1" t="s">
        <v>114</v>
      </c>
      <c r="B107" s="1">
        <v>46</v>
      </c>
      <c r="C107" s="1">
        <v>42</v>
      </c>
      <c r="D107" s="1">
        <v>625</v>
      </c>
      <c r="E107" s="1">
        <f t="shared" si="14"/>
        <v>479.166666666667</v>
      </c>
      <c r="F107" s="1">
        <f t="shared" si="15"/>
        <v>437.5</v>
      </c>
      <c r="G107" s="1">
        <f t="shared" si="16"/>
        <v>0.21</v>
      </c>
      <c r="H107" s="1">
        <f t="shared" si="17"/>
        <v>0.23</v>
      </c>
      <c r="I107" s="1">
        <f t="shared" si="9"/>
        <v>458.333333333333</v>
      </c>
    </row>
    <row r="108" spans="1:9">
      <c r="A108" s="1" t="s">
        <v>115</v>
      </c>
      <c r="B108" s="1">
        <v>47</v>
      </c>
      <c r="C108" s="1">
        <v>46</v>
      </c>
      <c r="D108" s="1">
        <v>625</v>
      </c>
      <c r="E108" s="1">
        <f t="shared" si="14"/>
        <v>489.583333333333</v>
      </c>
      <c r="F108" s="1">
        <f t="shared" si="15"/>
        <v>479.166666666667</v>
      </c>
      <c r="G108" s="1">
        <f t="shared" si="16"/>
        <v>0.2</v>
      </c>
      <c r="H108" s="1">
        <f t="shared" si="17"/>
        <v>0.21</v>
      </c>
      <c r="I108" s="1">
        <f t="shared" si="9"/>
        <v>484.375</v>
      </c>
    </row>
    <row r="109" spans="1:9">
      <c r="A109" s="1" t="s">
        <v>116</v>
      </c>
      <c r="B109" s="1">
        <v>46</v>
      </c>
      <c r="C109" s="1">
        <v>45</v>
      </c>
      <c r="D109" s="1">
        <v>625</v>
      </c>
      <c r="E109" s="1">
        <f t="shared" si="14"/>
        <v>479.166666666667</v>
      </c>
      <c r="F109" s="1">
        <f t="shared" si="15"/>
        <v>468.75</v>
      </c>
      <c r="G109" s="1">
        <f t="shared" si="16"/>
        <v>0.21</v>
      </c>
      <c r="H109" s="1">
        <f t="shared" si="17"/>
        <v>0.21</v>
      </c>
      <c r="I109" s="1">
        <f t="shared" si="9"/>
        <v>473.958333333333</v>
      </c>
    </row>
    <row r="110" spans="1:9">
      <c r="A110" s="1" t="s">
        <v>117</v>
      </c>
      <c r="B110" s="1">
        <v>46</v>
      </c>
      <c r="C110" s="1">
        <v>42</v>
      </c>
      <c r="D110" s="1">
        <v>543</v>
      </c>
      <c r="E110" s="1">
        <f t="shared" si="14"/>
        <v>416.3</v>
      </c>
      <c r="F110" s="1">
        <f t="shared" si="15"/>
        <v>380.1</v>
      </c>
      <c r="G110" s="1">
        <f t="shared" si="16"/>
        <v>0.24</v>
      </c>
      <c r="H110" s="1">
        <f t="shared" si="17"/>
        <v>0.26</v>
      </c>
      <c r="I110" s="1">
        <f t="shared" si="9"/>
        <v>398.2</v>
      </c>
    </row>
    <row r="111" spans="1:9">
      <c r="A111" s="1" t="s">
        <v>118</v>
      </c>
      <c r="B111" s="1">
        <v>47</v>
      </c>
      <c r="C111" s="1">
        <v>46</v>
      </c>
      <c r="D111" s="1">
        <v>543</v>
      </c>
      <c r="E111" s="1">
        <f t="shared" si="14"/>
        <v>425.35</v>
      </c>
      <c r="F111" s="1">
        <f t="shared" si="15"/>
        <v>416.3</v>
      </c>
      <c r="G111" s="1">
        <f t="shared" si="16"/>
        <v>0.24</v>
      </c>
      <c r="H111" s="1">
        <f t="shared" si="17"/>
        <v>0.24</v>
      </c>
      <c r="I111" s="1">
        <f t="shared" si="9"/>
        <v>420.825</v>
      </c>
    </row>
    <row r="112" spans="1:9">
      <c r="A112" s="1" t="s">
        <v>119</v>
      </c>
      <c r="B112" s="1">
        <v>46</v>
      </c>
      <c r="C112" s="1">
        <v>45</v>
      </c>
      <c r="D112" s="1">
        <v>543</v>
      </c>
      <c r="E112" s="1">
        <f t="shared" si="14"/>
        <v>416.3</v>
      </c>
      <c r="F112" s="1">
        <f t="shared" si="15"/>
        <v>407.25</v>
      </c>
      <c r="G112" s="1">
        <f t="shared" si="16"/>
        <v>0.24</v>
      </c>
      <c r="H112" s="1">
        <f t="shared" si="17"/>
        <v>0.25</v>
      </c>
      <c r="I112" s="1">
        <f t="shared" si="9"/>
        <v>411.775</v>
      </c>
    </row>
    <row r="113" spans="1:9">
      <c r="A113" s="1" t="s">
        <v>120</v>
      </c>
      <c r="B113" s="1">
        <v>48</v>
      </c>
      <c r="C113" s="1">
        <v>31</v>
      </c>
      <c r="D113" s="1">
        <v>740</v>
      </c>
      <c r="E113" s="1">
        <f t="shared" si="14"/>
        <v>592</v>
      </c>
      <c r="F113" s="1">
        <f t="shared" si="15"/>
        <v>382.333333333333</v>
      </c>
      <c r="G113" s="1">
        <f t="shared" si="16"/>
        <v>0.17</v>
      </c>
      <c r="H113" s="1">
        <f t="shared" si="17"/>
        <v>0.26</v>
      </c>
      <c r="I113" s="1">
        <f t="shared" si="9"/>
        <v>487.166666666667</v>
      </c>
    </row>
    <row r="114" spans="1:9">
      <c r="A114" s="1" t="s">
        <v>121</v>
      </c>
      <c r="B114" s="1">
        <v>48</v>
      </c>
      <c r="C114" s="1">
        <v>31</v>
      </c>
      <c r="D114" s="1">
        <v>643</v>
      </c>
      <c r="E114" s="1">
        <f t="shared" si="14"/>
        <v>514.4</v>
      </c>
      <c r="F114" s="1">
        <f t="shared" si="15"/>
        <v>332.216666666667</v>
      </c>
      <c r="G114" s="1">
        <f t="shared" si="16"/>
        <v>0.19</v>
      </c>
      <c r="H114" s="1">
        <f t="shared" si="17"/>
        <v>0.3</v>
      </c>
      <c r="I114" s="1">
        <f t="shared" si="9"/>
        <v>423.308333333333</v>
      </c>
    </row>
    <row r="115" spans="1:9">
      <c r="A115" s="1" t="s">
        <v>122</v>
      </c>
      <c r="B115" s="1">
        <v>32</v>
      </c>
      <c r="C115" s="1">
        <v>36</v>
      </c>
      <c r="D115" s="1">
        <v>780</v>
      </c>
      <c r="E115" s="1">
        <f t="shared" si="14"/>
        <v>416</v>
      </c>
      <c r="F115" s="1">
        <f t="shared" si="15"/>
        <v>468</v>
      </c>
      <c r="G115" s="1">
        <f t="shared" si="16"/>
        <v>0.24</v>
      </c>
      <c r="H115" s="1">
        <f t="shared" si="17"/>
        <v>0.21</v>
      </c>
      <c r="I115" s="1">
        <f t="shared" si="9"/>
        <v>442</v>
      </c>
    </row>
    <row r="116" spans="1:9">
      <c r="A116" s="1" t="s">
        <v>123</v>
      </c>
      <c r="B116" s="1">
        <v>32</v>
      </c>
      <c r="C116" s="1">
        <v>36</v>
      </c>
      <c r="D116" s="1">
        <v>678</v>
      </c>
      <c r="E116" s="1">
        <f t="shared" si="14"/>
        <v>361.6</v>
      </c>
      <c r="F116" s="1">
        <f t="shared" si="15"/>
        <v>406.8</v>
      </c>
      <c r="G116" s="1">
        <f t="shared" si="16"/>
        <v>0.28</v>
      </c>
      <c r="H116" s="1">
        <f t="shared" si="17"/>
        <v>0.25</v>
      </c>
      <c r="I116" s="1">
        <f t="shared" si="9"/>
        <v>384.2</v>
      </c>
    </row>
    <row r="117" spans="1:9">
      <c r="A117" s="1" t="s">
        <v>124</v>
      </c>
      <c r="B117" s="1">
        <v>38</v>
      </c>
      <c r="C117" s="1">
        <v>35</v>
      </c>
      <c r="D117" s="1">
        <v>706</v>
      </c>
      <c r="E117" s="1">
        <f t="shared" si="14"/>
        <v>447.133333333333</v>
      </c>
      <c r="F117" s="1">
        <f t="shared" si="15"/>
        <v>411.833333333333</v>
      </c>
      <c r="G117" s="1">
        <f t="shared" si="16"/>
        <v>0.22</v>
      </c>
      <c r="H117" s="1">
        <f t="shared" si="17"/>
        <v>0.24</v>
      </c>
      <c r="I117" s="1">
        <f t="shared" si="9"/>
        <v>429.483333333333</v>
      </c>
    </row>
    <row r="118" spans="1:9">
      <c r="A118" s="1" t="s">
        <v>125</v>
      </c>
      <c r="B118" s="1">
        <v>38</v>
      </c>
      <c r="C118" s="1">
        <v>35</v>
      </c>
      <c r="D118" s="1">
        <v>660</v>
      </c>
      <c r="E118" s="1">
        <f t="shared" si="14"/>
        <v>418</v>
      </c>
      <c r="F118" s="1">
        <f t="shared" si="15"/>
        <v>385</v>
      </c>
      <c r="G118" s="1">
        <f t="shared" si="16"/>
        <v>0.24</v>
      </c>
      <c r="H118" s="1">
        <f t="shared" si="17"/>
        <v>0.26</v>
      </c>
      <c r="I118" s="1">
        <f t="shared" si="9"/>
        <v>401.5</v>
      </c>
    </row>
    <row r="119" spans="1:9">
      <c r="A119" s="1" t="s">
        <v>126</v>
      </c>
      <c r="B119" s="1">
        <v>38</v>
      </c>
      <c r="C119" s="1">
        <v>35</v>
      </c>
      <c r="D119" s="1">
        <v>759</v>
      </c>
      <c r="E119" s="1">
        <f t="shared" si="14"/>
        <v>480.7</v>
      </c>
      <c r="F119" s="1">
        <f t="shared" si="15"/>
        <v>442.75</v>
      </c>
      <c r="G119" s="1">
        <f t="shared" si="16"/>
        <v>0.21</v>
      </c>
      <c r="H119" s="1">
        <f t="shared" si="17"/>
        <v>0.23</v>
      </c>
      <c r="I119" s="1">
        <f t="shared" si="9"/>
        <v>461.725</v>
      </c>
    </row>
    <row r="120" spans="1:9">
      <c r="A120" s="1" t="s">
        <v>127</v>
      </c>
      <c r="B120" s="1">
        <v>38</v>
      </c>
      <c r="C120" s="1">
        <v>35</v>
      </c>
      <c r="D120" s="1">
        <v>614</v>
      </c>
      <c r="E120" s="1">
        <f t="shared" si="14"/>
        <v>388.866666666667</v>
      </c>
      <c r="F120" s="1">
        <f t="shared" si="15"/>
        <v>358.166666666667</v>
      </c>
      <c r="G120" s="1">
        <f t="shared" si="16"/>
        <v>0.26</v>
      </c>
      <c r="H120" s="1">
        <f t="shared" si="17"/>
        <v>0.28</v>
      </c>
      <c r="I120" s="1">
        <f t="shared" si="9"/>
        <v>373.516666666667</v>
      </c>
    </row>
    <row r="121" spans="1:9">
      <c r="A121" s="1" t="s">
        <v>128</v>
      </c>
      <c r="B121" s="1">
        <v>38</v>
      </c>
      <c r="C121" s="1">
        <v>35</v>
      </c>
      <c r="D121" s="1">
        <v>654</v>
      </c>
      <c r="E121" s="1">
        <f t="shared" si="14"/>
        <v>414.2</v>
      </c>
      <c r="F121" s="1">
        <f t="shared" si="15"/>
        <v>381.5</v>
      </c>
      <c r="G121" s="1">
        <f t="shared" si="16"/>
        <v>0.24</v>
      </c>
      <c r="H121" s="1">
        <f t="shared" si="17"/>
        <v>0.26</v>
      </c>
      <c r="I121" s="1">
        <f t="shared" si="9"/>
        <v>397.85</v>
      </c>
    </row>
    <row r="122" spans="1:9">
      <c r="A122" s="1" t="s">
        <v>129</v>
      </c>
      <c r="B122" s="1">
        <v>38</v>
      </c>
      <c r="C122" s="1">
        <v>35</v>
      </c>
      <c r="D122" s="1">
        <v>579</v>
      </c>
      <c r="E122" s="1">
        <f t="shared" si="14"/>
        <v>366.7</v>
      </c>
      <c r="F122" s="1">
        <f t="shared" si="15"/>
        <v>337.75</v>
      </c>
      <c r="G122" s="1">
        <f t="shared" si="16"/>
        <v>0.27</v>
      </c>
      <c r="H122" s="1">
        <f t="shared" si="17"/>
        <v>0.3</v>
      </c>
      <c r="I122" s="1">
        <f t="shared" si="9"/>
        <v>352.225</v>
      </c>
    </row>
    <row r="123" spans="1:9">
      <c r="A123" s="1" t="s">
        <v>130</v>
      </c>
      <c r="B123" s="1">
        <v>48</v>
      </c>
      <c r="C123" s="1">
        <v>29</v>
      </c>
      <c r="D123" s="1">
        <v>972</v>
      </c>
      <c r="E123" s="1">
        <f t="shared" si="14"/>
        <v>777.6</v>
      </c>
      <c r="F123" s="1">
        <f t="shared" si="15"/>
        <v>469.8</v>
      </c>
      <c r="G123" s="1">
        <f t="shared" si="16"/>
        <v>0.13</v>
      </c>
      <c r="H123" s="1">
        <f t="shared" si="17"/>
        <v>0.21</v>
      </c>
      <c r="I123" s="1">
        <f t="shared" si="9"/>
        <v>623.7</v>
      </c>
    </row>
    <row r="124" spans="1:9">
      <c r="A124" s="1" t="s">
        <v>131</v>
      </c>
      <c r="B124" s="1">
        <v>48</v>
      </c>
      <c r="C124" s="1">
        <v>37</v>
      </c>
      <c r="D124" s="1">
        <v>680</v>
      </c>
      <c r="E124" s="1">
        <f t="shared" si="14"/>
        <v>544</v>
      </c>
      <c r="F124" s="1">
        <f t="shared" si="15"/>
        <v>419.333333333333</v>
      </c>
      <c r="G124" s="1">
        <f t="shared" si="16"/>
        <v>0.18</v>
      </c>
      <c r="H124" s="1">
        <f t="shared" si="17"/>
        <v>0.24</v>
      </c>
      <c r="I124" s="1">
        <f t="shared" si="9"/>
        <v>481.666666666667</v>
      </c>
    </row>
    <row r="125" spans="1:9">
      <c r="A125" s="1" t="s">
        <v>132</v>
      </c>
      <c r="B125" s="1">
        <v>32</v>
      </c>
      <c r="C125" s="1">
        <v>27</v>
      </c>
      <c r="D125" s="1">
        <v>632</v>
      </c>
      <c r="E125" s="1">
        <f t="shared" si="14"/>
        <v>337.066666666667</v>
      </c>
      <c r="F125" s="1">
        <f t="shared" si="15"/>
        <v>284.4</v>
      </c>
      <c r="G125" s="1">
        <f t="shared" si="16"/>
        <v>0.3</v>
      </c>
      <c r="H125" s="1">
        <f t="shared" si="17"/>
        <v>0.35</v>
      </c>
      <c r="I125" s="1">
        <f t="shared" si="9"/>
        <v>310.733333333333</v>
      </c>
    </row>
    <row r="126" spans="1:9">
      <c r="A126" s="1" t="s">
        <v>133</v>
      </c>
      <c r="B126" s="1">
        <v>32</v>
      </c>
      <c r="C126" s="1">
        <v>27</v>
      </c>
      <c r="D126" s="1">
        <v>550</v>
      </c>
      <c r="E126" s="1">
        <f t="shared" si="14"/>
        <v>293.333333333333</v>
      </c>
      <c r="F126" s="1">
        <f t="shared" si="15"/>
        <v>247.5</v>
      </c>
      <c r="G126" s="1">
        <f t="shared" si="16"/>
        <v>0.34</v>
      </c>
      <c r="H126" s="1">
        <f t="shared" si="17"/>
        <v>0.4</v>
      </c>
      <c r="I126" s="1">
        <f t="shared" si="9"/>
        <v>270.416666666667</v>
      </c>
    </row>
    <row r="127" spans="1:9">
      <c r="A127" s="1" t="s">
        <v>134</v>
      </c>
      <c r="B127" s="1">
        <v>37</v>
      </c>
      <c r="C127" s="1">
        <v>36</v>
      </c>
      <c r="D127" s="1">
        <v>632</v>
      </c>
      <c r="E127" s="1">
        <f t="shared" si="14"/>
        <v>389.733333333333</v>
      </c>
      <c r="F127" s="1">
        <f t="shared" si="15"/>
        <v>379.2</v>
      </c>
      <c r="G127" s="1">
        <f t="shared" si="16"/>
        <v>0.26</v>
      </c>
      <c r="H127" s="1">
        <f t="shared" si="17"/>
        <v>0.26</v>
      </c>
      <c r="I127" s="1">
        <f t="shared" si="9"/>
        <v>384.466666666667</v>
      </c>
    </row>
    <row r="128" spans="1:9">
      <c r="A128" s="1" t="s">
        <v>135</v>
      </c>
      <c r="B128" s="1">
        <v>37</v>
      </c>
      <c r="C128" s="1">
        <v>36</v>
      </c>
      <c r="D128" s="1">
        <v>550</v>
      </c>
      <c r="E128" s="1">
        <f t="shared" si="14"/>
        <v>339.166666666667</v>
      </c>
      <c r="F128" s="1">
        <f t="shared" si="15"/>
        <v>330</v>
      </c>
      <c r="G128" s="1">
        <f t="shared" si="16"/>
        <v>0.29</v>
      </c>
      <c r="H128" s="1">
        <f t="shared" si="17"/>
        <v>0.3</v>
      </c>
      <c r="I128" s="1">
        <f t="shared" si="9"/>
        <v>334.583333333333</v>
      </c>
    </row>
    <row r="129" spans="1:9">
      <c r="A129" s="1" t="s">
        <v>136</v>
      </c>
      <c r="B129" s="1">
        <v>37</v>
      </c>
      <c r="C129" s="1">
        <v>36</v>
      </c>
      <c r="D129" s="1">
        <v>486</v>
      </c>
      <c r="E129" s="1">
        <f t="shared" si="14"/>
        <v>299.7</v>
      </c>
      <c r="F129" s="1">
        <f t="shared" si="15"/>
        <v>291.6</v>
      </c>
      <c r="G129" s="1">
        <f t="shared" si="16"/>
        <v>0.33</v>
      </c>
      <c r="H129" s="1">
        <f t="shared" si="17"/>
        <v>0.34</v>
      </c>
      <c r="I129" s="1">
        <f t="shared" si="9"/>
        <v>295.65</v>
      </c>
    </row>
    <row r="130" spans="1:9">
      <c r="A130" s="1" t="s">
        <v>137</v>
      </c>
      <c r="B130" s="1">
        <v>42</v>
      </c>
      <c r="C130" s="1">
        <v>39</v>
      </c>
      <c r="D130" s="1">
        <v>533</v>
      </c>
      <c r="E130" s="1">
        <f t="shared" si="14"/>
        <v>373.1</v>
      </c>
      <c r="F130" s="1">
        <f t="shared" si="15"/>
        <v>346.45</v>
      </c>
      <c r="G130" s="1">
        <f t="shared" si="16"/>
        <v>0.27</v>
      </c>
      <c r="H130" s="1">
        <f t="shared" si="17"/>
        <v>0.29</v>
      </c>
      <c r="I130" s="1">
        <f t="shared" ref="I130:I158" si="18">AVERAGE(E130,F130)</f>
        <v>359.775</v>
      </c>
    </row>
    <row r="131" spans="1:9">
      <c r="A131" s="1" t="s">
        <v>138</v>
      </c>
      <c r="B131" s="1">
        <v>42</v>
      </c>
      <c r="C131" s="1">
        <v>39</v>
      </c>
      <c r="D131" s="1">
        <v>463</v>
      </c>
      <c r="E131" s="1">
        <f t="shared" ref="E131:E162" si="19">PRODUCT(B131,D131,1/60)</f>
        <v>324.1</v>
      </c>
      <c r="F131" s="1">
        <f t="shared" ref="F131:F162" si="20">PRODUCT(C131,D131,1/60)</f>
        <v>300.95</v>
      </c>
      <c r="G131" s="1">
        <f t="shared" ref="G131:G162" si="21">ROUND(100/E131,2)</f>
        <v>0.31</v>
      </c>
      <c r="H131" s="1">
        <f t="shared" ref="H131:H162" si="22">ROUND(100/F131,2)</f>
        <v>0.33</v>
      </c>
      <c r="I131" s="1">
        <f t="shared" si="18"/>
        <v>312.525</v>
      </c>
    </row>
    <row r="132" spans="1:9">
      <c r="A132" s="1" t="s">
        <v>139</v>
      </c>
      <c r="B132" s="1">
        <v>42</v>
      </c>
      <c r="C132" s="1">
        <v>39</v>
      </c>
      <c r="D132" s="1">
        <v>410</v>
      </c>
      <c r="E132" s="1">
        <f t="shared" si="19"/>
        <v>287</v>
      </c>
      <c r="F132" s="1">
        <f t="shared" si="20"/>
        <v>266.5</v>
      </c>
      <c r="G132" s="1">
        <f t="shared" si="21"/>
        <v>0.35</v>
      </c>
      <c r="H132" s="1">
        <f t="shared" si="22"/>
        <v>0.38</v>
      </c>
      <c r="I132" s="1">
        <f t="shared" si="18"/>
        <v>276.75</v>
      </c>
    </row>
    <row r="133" spans="1:9">
      <c r="A133" s="1" t="s">
        <v>140</v>
      </c>
      <c r="B133" s="1">
        <v>41</v>
      </c>
      <c r="C133" s="1">
        <v>40</v>
      </c>
      <c r="D133" s="1">
        <v>585</v>
      </c>
      <c r="E133" s="1">
        <f t="shared" si="19"/>
        <v>399.75</v>
      </c>
      <c r="F133" s="1">
        <f t="shared" si="20"/>
        <v>390</v>
      </c>
      <c r="G133" s="1">
        <f t="shared" si="21"/>
        <v>0.25</v>
      </c>
      <c r="H133" s="1">
        <f t="shared" si="22"/>
        <v>0.26</v>
      </c>
      <c r="I133" s="1">
        <f t="shared" si="18"/>
        <v>394.875</v>
      </c>
    </row>
    <row r="134" spans="1:9">
      <c r="A134" s="1" t="s">
        <v>141</v>
      </c>
      <c r="B134" s="1">
        <v>41</v>
      </c>
      <c r="C134" s="1">
        <v>40</v>
      </c>
      <c r="D134" s="1">
        <v>509</v>
      </c>
      <c r="E134" s="1">
        <f t="shared" si="19"/>
        <v>347.816666666667</v>
      </c>
      <c r="F134" s="1">
        <f t="shared" si="20"/>
        <v>339.333333333333</v>
      </c>
      <c r="G134" s="1">
        <f t="shared" si="21"/>
        <v>0.29</v>
      </c>
      <c r="H134" s="1">
        <f t="shared" si="22"/>
        <v>0.29</v>
      </c>
      <c r="I134" s="1">
        <f t="shared" si="18"/>
        <v>343.575</v>
      </c>
    </row>
    <row r="135" spans="1:9">
      <c r="A135" s="1" t="s">
        <v>142</v>
      </c>
      <c r="B135" s="1">
        <v>42</v>
      </c>
      <c r="C135" s="1">
        <v>30</v>
      </c>
      <c r="D135" s="1">
        <v>735</v>
      </c>
      <c r="E135" s="1">
        <f t="shared" si="19"/>
        <v>514.5</v>
      </c>
      <c r="F135" s="1">
        <f t="shared" si="20"/>
        <v>367.5</v>
      </c>
      <c r="G135" s="1">
        <f t="shared" si="21"/>
        <v>0.19</v>
      </c>
      <c r="H135" s="1">
        <f t="shared" si="22"/>
        <v>0.27</v>
      </c>
      <c r="I135" s="1">
        <f t="shared" si="18"/>
        <v>441</v>
      </c>
    </row>
    <row r="136" spans="1:9">
      <c r="A136" s="1" t="s">
        <v>143</v>
      </c>
      <c r="B136" s="1">
        <v>42</v>
      </c>
      <c r="C136" s="1">
        <v>30</v>
      </c>
      <c r="D136" s="1">
        <v>639</v>
      </c>
      <c r="E136" s="1">
        <f t="shared" si="19"/>
        <v>447.3</v>
      </c>
      <c r="F136" s="1">
        <f t="shared" si="20"/>
        <v>319.5</v>
      </c>
      <c r="G136" s="1">
        <f t="shared" si="21"/>
        <v>0.22</v>
      </c>
      <c r="H136" s="1">
        <f t="shared" si="22"/>
        <v>0.31</v>
      </c>
      <c r="I136" s="1">
        <f t="shared" si="18"/>
        <v>383.4</v>
      </c>
    </row>
    <row r="137" spans="1:9">
      <c r="A137" s="1" t="s">
        <v>144</v>
      </c>
      <c r="B137" s="1">
        <v>34</v>
      </c>
      <c r="C137" s="1">
        <v>25</v>
      </c>
      <c r="D137" s="1">
        <v>906</v>
      </c>
      <c r="E137" s="1">
        <f t="shared" si="19"/>
        <v>513.4</v>
      </c>
      <c r="F137" s="1">
        <f t="shared" si="20"/>
        <v>377.5</v>
      </c>
      <c r="G137" s="1">
        <f t="shared" si="21"/>
        <v>0.19</v>
      </c>
      <c r="H137" s="1">
        <f t="shared" si="22"/>
        <v>0.26</v>
      </c>
      <c r="I137" s="1">
        <f t="shared" si="18"/>
        <v>445.45</v>
      </c>
    </row>
    <row r="138" spans="1:9">
      <c r="A138" s="1" t="s">
        <v>145</v>
      </c>
      <c r="B138" s="1">
        <v>34</v>
      </c>
      <c r="C138" s="1">
        <v>25</v>
      </c>
      <c r="D138" s="1">
        <v>788</v>
      </c>
      <c r="E138" s="1">
        <f t="shared" si="19"/>
        <v>446.533333333333</v>
      </c>
      <c r="F138" s="1">
        <f t="shared" si="20"/>
        <v>328.333333333333</v>
      </c>
      <c r="G138" s="1">
        <f t="shared" si="21"/>
        <v>0.22</v>
      </c>
      <c r="H138" s="1">
        <f t="shared" si="22"/>
        <v>0.3</v>
      </c>
      <c r="I138" s="1">
        <f t="shared" si="18"/>
        <v>387.433333333333</v>
      </c>
    </row>
    <row r="139" spans="1:9">
      <c r="A139" s="1" t="s">
        <v>146</v>
      </c>
      <c r="B139" s="1">
        <v>40</v>
      </c>
      <c r="C139" s="1">
        <v>38</v>
      </c>
      <c r="D139" s="1">
        <v>649</v>
      </c>
      <c r="E139" s="1">
        <f t="shared" si="19"/>
        <v>432.666666666667</v>
      </c>
      <c r="F139" s="1">
        <f t="shared" si="20"/>
        <v>411.033333333333</v>
      </c>
      <c r="G139" s="1">
        <f t="shared" si="21"/>
        <v>0.23</v>
      </c>
      <c r="H139" s="1">
        <f t="shared" si="22"/>
        <v>0.24</v>
      </c>
      <c r="I139" s="1">
        <f t="shared" si="18"/>
        <v>421.85</v>
      </c>
    </row>
    <row r="140" spans="1:9">
      <c r="A140" s="1" t="s">
        <v>147</v>
      </c>
      <c r="B140" s="1">
        <v>42</v>
      </c>
      <c r="C140" s="1">
        <v>40</v>
      </c>
      <c r="D140" s="1">
        <v>649</v>
      </c>
      <c r="E140" s="1">
        <f t="shared" si="19"/>
        <v>454.3</v>
      </c>
      <c r="F140" s="1">
        <f t="shared" si="20"/>
        <v>432.666666666667</v>
      </c>
      <c r="G140" s="1">
        <f t="shared" si="21"/>
        <v>0.22</v>
      </c>
      <c r="H140" s="1">
        <f t="shared" si="22"/>
        <v>0.23</v>
      </c>
      <c r="I140" s="1">
        <f t="shared" si="18"/>
        <v>443.483333333333</v>
      </c>
    </row>
    <row r="141" spans="1:9">
      <c r="A141" s="1" t="s">
        <v>148</v>
      </c>
      <c r="B141" s="1">
        <v>42</v>
      </c>
      <c r="C141" s="1">
        <v>40</v>
      </c>
      <c r="D141" s="1">
        <v>565</v>
      </c>
      <c r="E141" s="1">
        <f t="shared" si="19"/>
        <v>395.5</v>
      </c>
      <c r="F141" s="1">
        <f t="shared" si="20"/>
        <v>376.666666666667</v>
      </c>
      <c r="G141" s="1">
        <f t="shared" si="21"/>
        <v>0.25</v>
      </c>
      <c r="H141" s="1">
        <f t="shared" si="22"/>
        <v>0.27</v>
      </c>
      <c r="I141" s="1">
        <f t="shared" si="18"/>
        <v>386.083333333333</v>
      </c>
    </row>
    <row r="142" spans="1:9">
      <c r="A142" s="1" t="s">
        <v>149</v>
      </c>
      <c r="B142" s="1">
        <v>40</v>
      </c>
      <c r="C142" s="1">
        <v>38</v>
      </c>
      <c r="D142" s="1">
        <v>565</v>
      </c>
      <c r="E142" s="1">
        <f t="shared" si="19"/>
        <v>376.666666666667</v>
      </c>
      <c r="F142" s="1">
        <f t="shared" si="20"/>
        <v>357.833333333333</v>
      </c>
      <c r="G142" s="1">
        <f t="shared" si="21"/>
        <v>0.27</v>
      </c>
      <c r="H142" s="1">
        <f t="shared" si="22"/>
        <v>0.28</v>
      </c>
      <c r="I142" s="1">
        <f t="shared" si="18"/>
        <v>367.25</v>
      </c>
    </row>
    <row r="143" spans="1:9">
      <c r="A143" s="1" t="s">
        <v>150</v>
      </c>
      <c r="B143" s="1">
        <v>35</v>
      </c>
      <c r="C143" s="1">
        <v>32</v>
      </c>
      <c r="D143" s="1">
        <v>679</v>
      </c>
      <c r="E143" s="1">
        <f t="shared" si="19"/>
        <v>396.083333333333</v>
      </c>
      <c r="F143" s="1">
        <f t="shared" si="20"/>
        <v>362.133333333333</v>
      </c>
      <c r="G143" s="1">
        <f t="shared" si="21"/>
        <v>0.25</v>
      </c>
      <c r="H143" s="1">
        <f t="shared" si="22"/>
        <v>0.28</v>
      </c>
      <c r="I143" s="1">
        <f t="shared" si="18"/>
        <v>379.108333333333</v>
      </c>
    </row>
    <row r="144" spans="1:9">
      <c r="A144" s="1" t="s">
        <v>151</v>
      </c>
      <c r="B144" s="1">
        <v>35</v>
      </c>
      <c r="C144" s="1">
        <v>32</v>
      </c>
      <c r="D144" s="1">
        <v>590</v>
      </c>
      <c r="E144" s="1">
        <f t="shared" si="19"/>
        <v>344.166666666667</v>
      </c>
      <c r="F144" s="1">
        <f t="shared" si="20"/>
        <v>314.666666666667</v>
      </c>
      <c r="G144" s="1">
        <f t="shared" si="21"/>
        <v>0.29</v>
      </c>
      <c r="H144" s="1">
        <f t="shared" si="22"/>
        <v>0.32</v>
      </c>
      <c r="I144" s="1">
        <f t="shared" si="18"/>
        <v>329.416666666667</v>
      </c>
    </row>
    <row r="145" spans="1:9">
      <c r="A145" s="1" t="s">
        <v>152</v>
      </c>
      <c r="B145" s="1">
        <v>39</v>
      </c>
      <c r="C145" s="1">
        <v>33</v>
      </c>
      <c r="D145" s="1">
        <v>508</v>
      </c>
      <c r="E145" s="1">
        <f t="shared" si="19"/>
        <v>330.2</v>
      </c>
      <c r="F145" s="1">
        <f t="shared" si="20"/>
        <v>279.4</v>
      </c>
      <c r="G145" s="1">
        <f t="shared" si="21"/>
        <v>0.3</v>
      </c>
      <c r="H145" s="1">
        <f t="shared" si="22"/>
        <v>0.36</v>
      </c>
      <c r="I145" s="1">
        <f t="shared" si="18"/>
        <v>304.8</v>
      </c>
    </row>
    <row r="146" spans="1:9">
      <c r="A146" s="1" t="s">
        <v>153</v>
      </c>
      <c r="B146" s="1">
        <v>39</v>
      </c>
      <c r="C146" s="1">
        <v>33</v>
      </c>
      <c r="D146" s="1">
        <v>442</v>
      </c>
      <c r="E146" s="1">
        <f t="shared" si="19"/>
        <v>287.3</v>
      </c>
      <c r="F146" s="1">
        <f t="shared" si="20"/>
        <v>243.1</v>
      </c>
      <c r="G146" s="1">
        <f t="shared" si="21"/>
        <v>0.35</v>
      </c>
      <c r="H146" s="1">
        <f t="shared" si="22"/>
        <v>0.41</v>
      </c>
      <c r="I146" s="1">
        <f t="shared" si="18"/>
        <v>265.2</v>
      </c>
    </row>
    <row r="147" spans="1:9">
      <c r="A147" s="1" t="s">
        <v>154</v>
      </c>
      <c r="B147" s="1">
        <v>35</v>
      </c>
      <c r="C147" s="1">
        <v>31</v>
      </c>
      <c r="D147" s="1">
        <v>880</v>
      </c>
      <c r="E147" s="1">
        <f t="shared" si="19"/>
        <v>513.333333333333</v>
      </c>
      <c r="F147" s="1">
        <f t="shared" si="20"/>
        <v>454.666666666667</v>
      </c>
      <c r="G147" s="1">
        <f t="shared" si="21"/>
        <v>0.19</v>
      </c>
      <c r="H147" s="1">
        <f t="shared" si="22"/>
        <v>0.22</v>
      </c>
      <c r="I147" s="1">
        <f t="shared" si="18"/>
        <v>484</v>
      </c>
    </row>
    <row r="148" spans="1:9">
      <c r="A148" s="1" t="s">
        <v>155</v>
      </c>
      <c r="B148" s="1">
        <v>35</v>
      </c>
      <c r="C148" s="1">
        <v>31</v>
      </c>
      <c r="D148" s="1">
        <v>765</v>
      </c>
      <c r="E148" s="1">
        <f t="shared" si="19"/>
        <v>446.25</v>
      </c>
      <c r="F148" s="1">
        <f t="shared" si="20"/>
        <v>395.25</v>
      </c>
      <c r="G148" s="1">
        <f t="shared" si="21"/>
        <v>0.22</v>
      </c>
      <c r="H148" s="1">
        <f t="shared" si="22"/>
        <v>0.25</v>
      </c>
      <c r="I148" s="1">
        <f t="shared" si="18"/>
        <v>420.75</v>
      </c>
    </row>
    <row r="149" spans="1:9">
      <c r="A149" s="1" t="s">
        <v>156</v>
      </c>
      <c r="B149" s="1">
        <v>55</v>
      </c>
      <c r="C149" s="1">
        <v>56</v>
      </c>
      <c r="D149" s="1">
        <v>500</v>
      </c>
      <c r="E149" s="1">
        <f t="shared" si="19"/>
        <v>458.333333333333</v>
      </c>
      <c r="F149" s="1">
        <f t="shared" si="20"/>
        <v>466.666666666667</v>
      </c>
      <c r="G149" s="1">
        <f t="shared" si="21"/>
        <v>0.22</v>
      </c>
      <c r="H149" s="1">
        <f t="shared" si="22"/>
        <v>0.21</v>
      </c>
      <c r="I149" s="1">
        <f t="shared" si="18"/>
        <v>462.5</v>
      </c>
    </row>
    <row r="150" spans="1:9">
      <c r="A150" s="1" t="s">
        <v>157</v>
      </c>
      <c r="B150" s="1">
        <v>40</v>
      </c>
      <c r="C150" s="1">
        <v>75</v>
      </c>
      <c r="D150" s="1">
        <v>400</v>
      </c>
      <c r="E150" s="1">
        <f t="shared" si="19"/>
        <v>266.666666666667</v>
      </c>
      <c r="F150" s="1">
        <f t="shared" si="20"/>
        <v>500</v>
      </c>
      <c r="G150" s="1">
        <f t="shared" si="21"/>
        <v>0.38</v>
      </c>
      <c r="H150" s="1">
        <f t="shared" si="22"/>
        <v>0.2</v>
      </c>
      <c r="I150" s="1">
        <f t="shared" si="18"/>
        <v>383.333333333333</v>
      </c>
    </row>
    <row r="151" spans="1:9">
      <c r="A151" s="1" t="s">
        <v>158</v>
      </c>
      <c r="B151" s="1">
        <v>36</v>
      </c>
      <c r="C151" s="1">
        <v>34</v>
      </c>
      <c r="D151" s="1">
        <v>533</v>
      </c>
      <c r="E151" s="1">
        <f t="shared" si="19"/>
        <v>319.8</v>
      </c>
      <c r="F151" s="1">
        <f t="shared" si="20"/>
        <v>302.033333333333</v>
      </c>
      <c r="G151" s="1">
        <f t="shared" si="21"/>
        <v>0.31</v>
      </c>
      <c r="H151" s="1">
        <f t="shared" si="22"/>
        <v>0.33</v>
      </c>
      <c r="I151" s="1">
        <f t="shared" si="18"/>
        <v>310.916666666667</v>
      </c>
    </row>
    <row r="152" spans="1:9">
      <c r="A152" s="1" t="s">
        <v>159</v>
      </c>
      <c r="B152" s="1">
        <v>36</v>
      </c>
      <c r="C152" s="1">
        <v>34</v>
      </c>
      <c r="D152" s="1">
        <v>463</v>
      </c>
      <c r="E152" s="1">
        <f t="shared" si="19"/>
        <v>277.8</v>
      </c>
      <c r="F152" s="1">
        <f t="shared" si="20"/>
        <v>262.366666666667</v>
      </c>
      <c r="G152" s="1">
        <f t="shared" si="21"/>
        <v>0.36</v>
      </c>
      <c r="H152" s="1">
        <f t="shared" si="22"/>
        <v>0.38</v>
      </c>
      <c r="I152" s="1">
        <f t="shared" si="18"/>
        <v>270.083333333333</v>
      </c>
    </row>
    <row r="153" spans="1:9">
      <c r="A153" s="1" t="s">
        <v>160</v>
      </c>
      <c r="B153" s="1">
        <v>42</v>
      </c>
      <c r="C153" s="1">
        <v>28</v>
      </c>
      <c r="D153" s="1">
        <v>679</v>
      </c>
      <c r="E153" s="1">
        <f t="shared" si="19"/>
        <v>475.3</v>
      </c>
      <c r="F153" s="1">
        <f t="shared" si="20"/>
        <v>316.866666666667</v>
      </c>
      <c r="G153" s="1">
        <f t="shared" si="21"/>
        <v>0.21</v>
      </c>
      <c r="H153" s="1">
        <f t="shared" si="22"/>
        <v>0.32</v>
      </c>
      <c r="I153" s="1">
        <f t="shared" si="18"/>
        <v>396.083333333333</v>
      </c>
    </row>
    <row r="154" spans="1:9">
      <c r="A154" s="1" t="s">
        <v>161</v>
      </c>
      <c r="B154" s="1">
        <v>42</v>
      </c>
      <c r="C154" s="1">
        <v>28</v>
      </c>
      <c r="D154" s="1">
        <v>590</v>
      </c>
      <c r="E154" s="1">
        <f t="shared" si="19"/>
        <v>413</v>
      </c>
      <c r="F154" s="1">
        <f t="shared" si="20"/>
        <v>275.333333333333</v>
      </c>
      <c r="G154" s="1">
        <f t="shared" si="21"/>
        <v>0.24</v>
      </c>
      <c r="H154" s="1">
        <f t="shared" si="22"/>
        <v>0.36</v>
      </c>
      <c r="I154" s="1">
        <f t="shared" si="18"/>
        <v>344.166666666667</v>
      </c>
    </row>
    <row r="155" spans="1:9">
      <c r="A155" s="1" t="s">
        <v>162</v>
      </c>
      <c r="B155" s="1">
        <v>42</v>
      </c>
      <c r="C155" s="1">
        <v>40</v>
      </c>
      <c r="D155" s="1">
        <v>600</v>
      </c>
      <c r="E155" s="1">
        <f t="shared" si="19"/>
        <v>420</v>
      </c>
      <c r="F155" s="1">
        <f t="shared" si="20"/>
        <v>400</v>
      </c>
      <c r="G155" s="1">
        <f t="shared" si="21"/>
        <v>0.24</v>
      </c>
      <c r="H155" s="1">
        <f t="shared" si="22"/>
        <v>0.25</v>
      </c>
      <c r="I155" s="1">
        <f t="shared" si="18"/>
        <v>410</v>
      </c>
    </row>
    <row r="156" spans="1:9">
      <c r="A156" s="1" t="s">
        <v>163</v>
      </c>
      <c r="B156" s="1">
        <v>42</v>
      </c>
      <c r="C156" s="1">
        <v>40</v>
      </c>
      <c r="D156" s="1">
        <v>522</v>
      </c>
      <c r="E156" s="1">
        <f t="shared" si="19"/>
        <v>365.4</v>
      </c>
      <c r="F156" s="1">
        <f t="shared" si="20"/>
        <v>348</v>
      </c>
      <c r="G156" s="1">
        <f t="shared" si="21"/>
        <v>0.27</v>
      </c>
      <c r="H156" s="1">
        <f t="shared" si="22"/>
        <v>0.29</v>
      </c>
      <c r="I156" s="1">
        <f t="shared" si="18"/>
        <v>356.7</v>
      </c>
    </row>
    <row r="157" spans="1:9">
      <c r="A157" s="1" t="s">
        <v>164</v>
      </c>
      <c r="B157" s="1">
        <v>33</v>
      </c>
      <c r="C157" s="1">
        <v>31</v>
      </c>
      <c r="D157" s="1">
        <v>800</v>
      </c>
      <c r="E157" s="1">
        <f t="shared" si="19"/>
        <v>440</v>
      </c>
      <c r="F157" s="1">
        <f t="shared" si="20"/>
        <v>413.333333333333</v>
      </c>
      <c r="G157" s="1">
        <f t="shared" si="21"/>
        <v>0.23</v>
      </c>
      <c r="H157" s="1">
        <f t="shared" si="22"/>
        <v>0.24</v>
      </c>
      <c r="I157" s="1">
        <f t="shared" si="18"/>
        <v>426.666666666667</v>
      </c>
    </row>
    <row r="158" spans="1:9">
      <c r="A158" s="1" t="s">
        <v>165</v>
      </c>
      <c r="B158" s="1">
        <v>33</v>
      </c>
      <c r="C158" s="1">
        <v>31</v>
      </c>
      <c r="D158" s="1">
        <v>696</v>
      </c>
      <c r="E158" s="1">
        <f t="shared" si="19"/>
        <v>382.8</v>
      </c>
      <c r="F158" s="1">
        <f t="shared" si="20"/>
        <v>359.6</v>
      </c>
      <c r="G158" s="1">
        <f t="shared" si="21"/>
        <v>0.26</v>
      </c>
      <c r="H158" s="1">
        <f t="shared" si="22"/>
        <v>0.28</v>
      </c>
      <c r="I158" s="1">
        <f t="shared" si="18"/>
        <v>371.2</v>
      </c>
    </row>
    <row r="159" spans="1:9">
      <c r="A159" s="1" t="s">
        <v>166</v>
      </c>
      <c r="B159" s="1">
        <v>38</v>
      </c>
      <c r="C159" s="1">
        <v>30</v>
      </c>
      <c r="D159" s="1">
        <v>944</v>
      </c>
      <c r="E159" s="1">
        <f t="shared" si="19"/>
        <v>597.866666666667</v>
      </c>
      <c r="F159" s="1">
        <f>PRODUCT(C159,D159,1/60)</f>
        <v>472</v>
      </c>
      <c r="G159" s="1">
        <f>ROUND(100/E159,2)</f>
        <v>0.17</v>
      </c>
      <c r="H159" s="1">
        <f>ROUND(100/F159,2)</f>
        <v>0.21</v>
      </c>
      <c r="I159" s="1">
        <f>AVERAGE(E159,F159)</f>
        <v>534.933333333333</v>
      </c>
    </row>
    <row r="160" spans="1:9">
      <c r="A160" s="1" t="s">
        <v>167</v>
      </c>
      <c r="B160" s="1">
        <v>38</v>
      </c>
      <c r="C160" s="1">
        <v>30</v>
      </c>
      <c r="D160" s="1">
        <v>811</v>
      </c>
      <c r="E160" s="1">
        <f>PRODUCT(B160,D160,1/60)</f>
        <v>513.633333333333</v>
      </c>
      <c r="F160" s="1">
        <f>PRODUCT(C160,D160,1/60)</f>
        <v>405.5</v>
      </c>
      <c r="G160" s="1">
        <f>ROUND(100/E160,2)</f>
        <v>0.19</v>
      </c>
      <c r="H160" s="1">
        <f>ROUND(100/F160,2)</f>
        <v>0.25</v>
      </c>
      <c r="I160" s="1">
        <f>AVERAGE(E160,F160)</f>
        <v>459.566666666667</v>
      </c>
    </row>
    <row r="161" spans="1:9">
      <c r="A161" s="1" t="s">
        <v>168</v>
      </c>
      <c r="B161" s="1">
        <v>20</v>
      </c>
      <c r="C161" s="1">
        <v>100</v>
      </c>
      <c r="D161" s="1">
        <v>100</v>
      </c>
      <c r="E161" s="1">
        <f>PRODUCT(B161,D161,1/60)</f>
        <v>33.3333333333333</v>
      </c>
      <c r="F161" s="1">
        <f>PRODUCT(C161,D161,1/60)</f>
        <v>166.666666666667</v>
      </c>
      <c r="G161" s="1">
        <f>ROUND(100/E161,2)</f>
        <v>3</v>
      </c>
      <c r="H161" s="1">
        <f>ROUND(100/F161,2)</f>
        <v>0.6</v>
      </c>
      <c r="I161" s="1">
        <f>AVERAGE(E161,F161)</f>
        <v>100</v>
      </c>
    </row>
    <row r="162" spans="1:9">
      <c r="A162" s="1" t="s">
        <v>169</v>
      </c>
      <c r="B162" s="1">
        <v>31</v>
      </c>
      <c r="C162" s="1">
        <v>30</v>
      </c>
      <c r="D162" s="1">
        <v>900</v>
      </c>
      <c r="E162" s="1">
        <f>PRODUCT(B162,D162,1/60)</f>
        <v>465</v>
      </c>
      <c r="F162" s="1">
        <f>PRODUCT(C162,D162,1/60)</f>
        <v>450</v>
      </c>
      <c r="G162" s="1">
        <f>ROUND(100/E162,2)</f>
        <v>0.22</v>
      </c>
      <c r="H162" s="1">
        <f>ROUND(100/F162,2)</f>
        <v>0.22</v>
      </c>
      <c r="I162" s="1">
        <f>AVERAGE(E162,F162)</f>
        <v>457.5</v>
      </c>
    </row>
    <row r="163" spans="1:9">
      <c r="A163" s="1" t="s">
        <v>170</v>
      </c>
      <c r="B163" s="1">
        <v>31</v>
      </c>
      <c r="C163" s="1">
        <v>30</v>
      </c>
      <c r="D163" s="1">
        <v>783</v>
      </c>
      <c r="E163" s="1">
        <f>PRODUCT(B163,D163,1/60)</f>
        <v>404.55</v>
      </c>
      <c r="F163" s="1">
        <f>PRODUCT(C163,D163,1/60)</f>
        <v>391.5</v>
      </c>
      <c r="G163" s="1">
        <f>ROUND(100/E163,2)</f>
        <v>0.25</v>
      </c>
      <c r="H163" s="1">
        <f>ROUND(100/F163,2)</f>
        <v>0.26</v>
      </c>
      <c r="I163" s="1">
        <f>AVERAGE(E163,F163)</f>
        <v>398.025</v>
      </c>
    </row>
    <row r="164" spans="1:9">
      <c r="A164" s="1" t="s">
        <v>171</v>
      </c>
      <c r="B164" s="1">
        <v>28</v>
      </c>
      <c r="C164" s="1">
        <v>37</v>
      </c>
      <c r="D164" s="1">
        <v>950</v>
      </c>
      <c r="E164" s="1">
        <f>PRODUCT(B164,D164,1/60)</f>
        <v>443.333333333333</v>
      </c>
      <c r="F164" s="1">
        <f>PRODUCT(C164,D164,1/60)</f>
        <v>585.833333333333</v>
      </c>
      <c r="G164" s="1">
        <f>ROUND(100/E164,2)</f>
        <v>0.23</v>
      </c>
      <c r="H164" s="1">
        <f>ROUND(100/F164,2)</f>
        <v>0.17</v>
      </c>
      <c r="I164" s="1">
        <f>AVERAGE(E164,F164)</f>
        <v>514.583333333333</v>
      </c>
    </row>
    <row r="165" spans="1:9">
      <c r="A165" s="1" t="s">
        <v>172</v>
      </c>
      <c r="B165" s="1">
        <v>28</v>
      </c>
      <c r="C165" s="1">
        <v>37</v>
      </c>
      <c r="D165" s="1">
        <v>826</v>
      </c>
      <c r="E165" s="1">
        <f>PRODUCT(B165,D165,1/60)</f>
        <v>385.466666666667</v>
      </c>
      <c r="F165" s="1">
        <f>PRODUCT(C165,D165,1/60)</f>
        <v>509.366666666667</v>
      </c>
      <c r="G165" s="1">
        <f>ROUND(100/E165,2)</f>
        <v>0.26</v>
      </c>
      <c r="H165" s="1">
        <f>ROUND(100/F165,2)</f>
        <v>0.2</v>
      </c>
      <c r="I165" s="1">
        <f>AVERAGE(E165,F165)</f>
        <v>447.416666666667</v>
      </c>
    </row>
    <row r="166" spans="1:9">
      <c r="I166" s="1"/>
    </row>
    <row r="167" spans="1:9">
      <c r="I167" s="1"/>
    </row>
    <row r="168" spans="1:9">
      <c r="I168" s="1"/>
    </row>
    <row r="169" spans="1:9">
      <c r="I169" s="1"/>
    </row>
    <row r="170" spans="1:9">
      <c r="I170" s="1"/>
    </row>
    <row r="171" spans="1:9">
      <c r="I171" s="1"/>
    </row>
    <row r="172" spans="1:9">
      <c r="I172" s="1"/>
    </row>
    <row r="173" spans="1:9">
      <c r="I173" s="1"/>
    </row>
    <row r="174" spans="1:9">
      <c r="I174" s="1"/>
    </row>
    <row r="175" spans="1:9">
      <c r="I175" s="1"/>
    </row>
    <row r="176" spans="1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</sheetData>
  <sortState ref="A1:I158">
    <sortCondition ref="I1:I200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</dc:creator>
  <cp:lastModifiedBy>tools</cp:lastModifiedBy>
  <dcterms:created xsi:type="dcterms:W3CDTF">2026-04-06T16:44:00Z</dcterms:created>
  <dcterms:modified xsi:type="dcterms:W3CDTF">2026-04-21T04:44:20Z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8EC7619909684AD99DFE379CB10EE2B3_11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